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46033</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46033</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46033</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46033</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46033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46033</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46033</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46033</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46033</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46033</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44857-2025</t>
        </is>
      </c>
      <c r="B14" s="1" t="n">
        <v>45918.45165509259</v>
      </c>
      <c r="C14" s="1" t="n">
        <v>46033</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19176-2025</t>
        </is>
      </c>
      <c r="B15" s="1" t="n">
        <v>45769</v>
      </c>
      <c r="C15" s="1" t="n">
        <v>46033</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58430-2025</t>
        </is>
      </c>
      <c r="B16" s="1" t="n">
        <v>45985.60377314815</v>
      </c>
      <c r="C16" s="1" t="n">
        <v>46033</v>
      </c>
      <c r="D16" t="inlineStr">
        <is>
          <t>ÖREBRO LÄN</t>
        </is>
      </c>
      <c r="E16" t="inlineStr">
        <is>
          <t>LEKEBERG</t>
        </is>
      </c>
      <c r="G16" t="n">
        <v>0.5</v>
      </c>
      <c r="H16" t="n">
        <v>1</v>
      </c>
      <c r="I16" t="n">
        <v>0</v>
      </c>
      <c r="J16" t="n">
        <v>0</v>
      </c>
      <c r="K16" t="n">
        <v>0</v>
      </c>
      <c r="L16" t="n">
        <v>0</v>
      </c>
      <c r="M16" t="n">
        <v>0</v>
      </c>
      <c r="N16" t="n">
        <v>0</v>
      </c>
      <c r="O16" t="n">
        <v>0</v>
      </c>
      <c r="P16" t="n">
        <v>0</v>
      </c>
      <c r="Q16" t="n">
        <v>1</v>
      </c>
      <c r="R16" s="2" t="inlineStr">
        <is>
          <t>Blåsippa</t>
        </is>
      </c>
      <c r="S16">
        <f>HYPERLINK("https://klasma.github.io/Logging_1814/artfynd/A 58430-2025 artfynd.xlsx", "A 58430-2025")</f>
        <v/>
      </c>
      <c r="T16">
        <f>HYPERLINK("https://klasma.github.io/Logging_1814/kartor/A 58430-2025 karta.png", "A 58430-2025")</f>
        <v/>
      </c>
      <c r="V16">
        <f>HYPERLINK("https://klasma.github.io/Logging_1814/klagomål/A 58430-2025 FSC-klagomål.docx", "A 58430-2025")</f>
        <v/>
      </c>
      <c r="W16">
        <f>HYPERLINK("https://klasma.github.io/Logging_1814/klagomålsmail/A 58430-2025 FSC-klagomål mail.docx", "A 58430-2025")</f>
        <v/>
      </c>
      <c r="X16">
        <f>HYPERLINK("https://klasma.github.io/Logging_1814/tillsyn/A 58430-2025 tillsynsbegäran.docx", "A 58430-2025")</f>
        <v/>
      </c>
      <c r="Y16">
        <f>HYPERLINK("https://klasma.github.io/Logging_1814/tillsynsmail/A 58430-2025 tillsynsbegäran mail.docx", "A 58430-2025")</f>
        <v/>
      </c>
    </row>
    <row r="17" ht="15" customHeight="1">
      <c r="A17" t="inlineStr">
        <is>
          <t>A 9690-2024</t>
        </is>
      </c>
      <c r="B17" s="1" t="n">
        <v>45362</v>
      </c>
      <c r="C17" s="1" t="n">
        <v>46033</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290-2025</t>
        </is>
      </c>
      <c r="B18" s="1" t="n">
        <v>45656</v>
      </c>
      <c r="C18" s="1" t="n">
        <v>46033</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10680-2024</t>
        </is>
      </c>
      <c r="B19" s="1" t="n">
        <v>45368</v>
      </c>
      <c r="C19" s="1" t="n">
        <v>46033</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45478.65488425926</v>
      </c>
      <c r="C20" s="1" t="n">
        <v>46033</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28147-2022</t>
        </is>
      </c>
      <c r="B21" s="1" t="n">
        <v>44746</v>
      </c>
      <c r="C21" s="1" t="n">
        <v>46033</v>
      </c>
      <c r="D21" t="inlineStr">
        <is>
          <t>ÖREBRO LÄN</t>
        </is>
      </c>
      <c r="E21" t="inlineStr">
        <is>
          <t>LEKEBERG</t>
        </is>
      </c>
      <c r="G21" t="n">
        <v>1.4</v>
      </c>
      <c r="H21" t="n">
        <v>1</v>
      </c>
      <c r="I21" t="n">
        <v>0</v>
      </c>
      <c r="J21" t="n">
        <v>1</v>
      </c>
      <c r="K21" t="n">
        <v>0</v>
      </c>
      <c r="L21" t="n">
        <v>0</v>
      </c>
      <c r="M21" t="n">
        <v>0</v>
      </c>
      <c r="N21" t="n">
        <v>0</v>
      </c>
      <c r="O21" t="n">
        <v>1</v>
      </c>
      <c r="P21" t="n">
        <v>0</v>
      </c>
      <c r="Q21" t="n">
        <v>1</v>
      </c>
      <c r="R21" s="2" t="inlineStr">
        <is>
          <t>Mindre hackspett</t>
        </is>
      </c>
      <c r="S21">
        <f>HYPERLINK("https://klasma.github.io/Logging_1814/artfynd/A 28147-2022 artfynd.xlsx", "A 28147-2022")</f>
        <v/>
      </c>
      <c r="T21">
        <f>HYPERLINK("https://klasma.github.io/Logging_1814/kartor/A 28147-2022 karta.png", "A 28147-2022")</f>
        <v/>
      </c>
      <c r="V21">
        <f>HYPERLINK("https://klasma.github.io/Logging_1814/klagomål/A 28147-2022 FSC-klagomål.docx", "A 28147-2022")</f>
        <v/>
      </c>
      <c r="W21">
        <f>HYPERLINK("https://klasma.github.io/Logging_1814/klagomålsmail/A 28147-2022 FSC-klagomål mail.docx", "A 28147-2022")</f>
        <v/>
      </c>
      <c r="X21">
        <f>HYPERLINK("https://klasma.github.io/Logging_1814/tillsyn/A 28147-2022 tillsynsbegäran.docx", "A 28147-2022")</f>
        <v/>
      </c>
      <c r="Y21">
        <f>HYPERLINK("https://klasma.github.io/Logging_1814/tillsynsmail/A 28147-2022 tillsynsbegäran mail.docx", "A 28147-2022")</f>
        <v/>
      </c>
      <c r="Z21">
        <f>HYPERLINK("https://klasma.github.io/Logging_1814/fåglar/A 28147-2022 prioriterade fågelarter.docx", "A 28147-2022")</f>
        <v/>
      </c>
    </row>
    <row r="22" ht="15" customHeight="1">
      <c r="A22" t="inlineStr">
        <is>
          <t>A 1515-2024</t>
        </is>
      </c>
      <c r="B22" s="1" t="n">
        <v>45305</v>
      </c>
      <c r="C22" s="1" t="n">
        <v>46033</v>
      </c>
      <c r="D22" t="inlineStr">
        <is>
          <t>ÖREBRO LÄN</t>
        </is>
      </c>
      <c r="E22" t="inlineStr">
        <is>
          <t>LEKEBERG</t>
        </is>
      </c>
      <c r="G22" t="n">
        <v>3.7</v>
      </c>
      <c r="H22" t="n">
        <v>1</v>
      </c>
      <c r="I22" t="n">
        <v>0</v>
      </c>
      <c r="J22" t="n">
        <v>1</v>
      </c>
      <c r="K22" t="n">
        <v>0</v>
      </c>
      <c r="L22" t="n">
        <v>0</v>
      </c>
      <c r="M22" t="n">
        <v>0</v>
      </c>
      <c r="N22" t="n">
        <v>0</v>
      </c>
      <c r="O22" t="n">
        <v>1</v>
      </c>
      <c r="P22" t="n">
        <v>0</v>
      </c>
      <c r="Q22" t="n">
        <v>1</v>
      </c>
      <c r="R22" s="2" t="inlineStr">
        <is>
          <t>Spillkråka</t>
        </is>
      </c>
      <c r="S22">
        <f>HYPERLINK("https://klasma.github.io/Logging_1814/artfynd/A 1515-2024 artfynd.xlsx", "A 1515-2024")</f>
        <v/>
      </c>
      <c r="T22">
        <f>HYPERLINK("https://klasma.github.io/Logging_1814/kartor/A 1515-2024 karta.png", "A 1515-2024")</f>
        <v/>
      </c>
      <c r="V22">
        <f>HYPERLINK("https://klasma.github.io/Logging_1814/klagomål/A 1515-2024 FSC-klagomål.docx", "A 1515-2024")</f>
        <v/>
      </c>
      <c r="W22">
        <f>HYPERLINK("https://klasma.github.io/Logging_1814/klagomålsmail/A 1515-2024 FSC-klagomål mail.docx", "A 1515-2024")</f>
        <v/>
      </c>
      <c r="X22">
        <f>HYPERLINK("https://klasma.github.io/Logging_1814/tillsyn/A 1515-2024 tillsynsbegäran.docx", "A 1515-2024")</f>
        <v/>
      </c>
      <c r="Y22">
        <f>HYPERLINK("https://klasma.github.io/Logging_1814/tillsynsmail/A 1515-2024 tillsynsbegäran mail.docx", "A 1515-2024")</f>
        <v/>
      </c>
      <c r="Z22">
        <f>HYPERLINK("https://klasma.github.io/Logging_1814/fåglar/A 1515-2024 prioriterade fågelarter.docx", "A 1515-2024")</f>
        <v/>
      </c>
    </row>
    <row r="23" ht="15" customHeight="1">
      <c r="A23" t="inlineStr">
        <is>
          <t>A 14365-2021</t>
        </is>
      </c>
      <c r="B23" s="1" t="n">
        <v>44279</v>
      </c>
      <c r="C23" s="1" t="n">
        <v>46033</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46033</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46033</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46033</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46033</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46033</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46033</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46033</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46033</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46033</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46033</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46033</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46033</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46033</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46033</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46033</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46033</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46033</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46033</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46033</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46033</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46033</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46033</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46033</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46033</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46033</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46033</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46033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46033</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46033</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46033</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46033</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46033</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61470-2024</t>
        </is>
      </c>
      <c r="B63" s="1" t="n">
        <v>45646</v>
      </c>
      <c r="C63" s="1" t="n">
        <v>46033</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1574-2025</t>
        </is>
      </c>
      <c r="B64" s="1" t="n">
        <v>45670.55908564815</v>
      </c>
      <c r="C64" s="1" t="n">
        <v>46033</v>
      </c>
      <c r="D64" t="inlineStr">
        <is>
          <t>ÖREBRO LÄN</t>
        </is>
      </c>
      <c r="E64" t="inlineStr">
        <is>
          <t>LEKEBERG</t>
        </is>
      </c>
      <c r="F64" t="inlineStr">
        <is>
          <t>Allmännings- och besparingsskogar</t>
        </is>
      </c>
      <c r="G64" t="n">
        <v>9.699999999999999</v>
      </c>
      <c r="H64" t="n">
        <v>0</v>
      </c>
      <c r="I64" t="n">
        <v>0</v>
      </c>
      <c r="J64" t="n">
        <v>0</v>
      </c>
      <c r="K64" t="n">
        <v>0</v>
      </c>
      <c r="L64" t="n">
        <v>0</v>
      </c>
      <c r="M64" t="n">
        <v>0</v>
      </c>
      <c r="N64" t="n">
        <v>0</v>
      </c>
      <c r="O64" t="n">
        <v>0</v>
      </c>
      <c r="P64" t="n">
        <v>0</v>
      </c>
      <c r="Q64" t="n">
        <v>0</v>
      </c>
      <c r="R64" s="2" t="inlineStr"/>
    </row>
    <row r="65" ht="15" customHeight="1">
      <c r="A65" t="inlineStr">
        <is>
          <t>A 62160-2024</t>
        </is>
      </c>
      <c r="B65" s="1" t="n">
        <v>45656.80090277778</v>
      </c>
      <c r="C65" s="1" t="n">
        <v>46033</v>
      </c>
      <c r="D65" t="inlineStr">
        <is>
          <t>ÖREBRO LÄN</t>
        </is>
      </c>
      <c r="E65" t="inlineStr">
        <is>
          <t>LEKEBERG</t>
        </is>
      </c>
      <c r="G65" t="n">
        <v>0.9</v>
      </c>
      <c r="H65" t="n">
        <v>0</v>
      </c>
      <c r="I65" t="n">
        <v>0</v>
      </c>
      <c r="J65" t="n">
        <v>0</v>
      </c>
      <c r="K65" t="n">
        <v>0</v>
      </c>
      <c r="L65" t="n">
        <v>0</v>
      </c>
      <c r="M65" t="n">
        <v>0</v>
      </c>
      <c r="N65" t="n">
        <v>0</v>
      </c>
      <c r="O65" t="n">
        <v>0</v>
      </c>
      <c r="P65" t="n">
        <v>0</v>
      </c>
      <c r="Q65" t="n">
        <v>0</v>
      </c>
      <c r="R65" s="2" t="inlineStr"/>
    </row>
    <row r="66" ht="15" customHeight="1">
      <c r="A66" t="inlineStr">
        <is>
          <t>A 50104-2024</t>
        </is>
      </c>
      <c r="B66" s="1" t="n">
        <v>45600.40037037037</v>
      </c>
      <c r="C66" s="1" t="n">
        <v>46033</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33334-2023</t>
        </is>
      </c>
      <c r="B67" s="1" t="n">
        <v>45128.33488425926</v>
      </c>
      <c r="C67" s="1" t="n">
        <v>46033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55727-2024</t>
        </is>
      </c>
      <c r="B68" s="1" t="n">
        <v>45622.90070601852</v>
      </c>
      <c r="C68" s="1" t="n">
        <v>46033</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26763-2023</t>
        </is>
      </c>
      <c r="B69" s="1" t="n">
        <v>45093.46813657408</v>
      </c>
      <c r="C69" s="1" t="n">
        <v>46033</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46033</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46033</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53910-2023</t>
        </is>
      </c>
      <c r="B72" s="1" t="n">
        <v>45231.55751157407</v>
      </c>
      <c r="C72" s="1" t="n">
        <v>46033</v>
      </c>
      <c r="D72" t="inlineStr">
        <is>
          <t>ÖREBRO LÄN</t>
        </is>
      </c>
      <c r="E72" t="inlineStr">
        <is>
          <t>LEKEBERG</t>
        </is>
      </c>
      <c r="G72" t="n">
        <v>5.7</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46033</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46033</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24055-2025</t>
        </is>
      </c>
      <c r="B75" s="1" t="n">
        <v>45796</v>
      </c>
      <c r="C75" s="1" t="n">
        <v>46033</v>
      </c>
      <c r="D75" t="inlineStr">
        <is>
          <t>ÖREBRO LÄN</t>
        </is>
      </c>
      <c r="E75" t="inlineStr">
        <is>
          <t>LEKEBERG</t>
        </is>
      </c>
      <c r="G75" t="n">
        <v>4.2</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46033</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5313-2024</t>
        </is>
      </c>
      <c r="B77" s="1" t="n">
        <v>45331.39503472222</v>
      </c>
      <c r="C77" s="1" t="n">
        <v>46033</v>
      </c>
      <c r="D77" t="inlineStr">
        <is>
          <t>ÖREBRO LÄN</t>
        </is>
      </c>
      <c r="E77" t="inlineStr">
        <is>
          <t>LEKEBERG</t>
        </is>
      </c>
      <c r="G77" t="n">
        <v>8.699999999999999</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46033</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46033</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18382-2023</t>
        </is>
      </c>
      <c r="B80" s="1" t="n">
        <v>45042.27751157407</v>
      </c>
      <c r="C80" s="1" t="n">
        <v>46033</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41692-2025</t>
        </is>
      </c>
      <c r="B81" s="1" t="n">
        <v>45902.4041087963</v>
      </c>
      <c r="C81" s="1" t="n">
        <v>46033</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46033</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46033</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2175-2024</t>
        </is>
      </c>
      <c r="B84" s="1" t="n">
        <v>45309</v>
      </c>
      <c r="C84" s="1" t="n">
        <v>46033</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46033</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43621-2025</t>
        </is>
      </c>
      <c r="B86" s="1" t="n">
        <v>45911.681875</v>
      </c>
      <c r="C86" s="1" t="n">
        <v>46033</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46033</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46398-2021</t>
        </is>
      </c>
      <c r="B88" s="1" t="n">
        <v>44443.77010416667</v>
      </c>
      <c r="C88" s="1" t="n">
        <v>46033</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46033</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28620-2023</t>
        </is>
      </c>
      <c r="B90" s="1" t="n">
        <v>45103.5975462963</v>
      </c>
      <c r="C90" s="1" t="n">
        <v>46033</v>
      </c>
      <c r="D90" t="inlineStr">
        <is>
          <t>ÖREBRO LÄN</t>
        </is>
      </c>
      <c r="E90" t="inlineStr">
        <is>
          <t>LEKEBERG</t>
        </is>
      </c>
      <c r="G90" t="n">
        <v>0.6</v>
      </c>
      <c r="H90" t="n">
        <v>0</v>
      </c>
      <c r="I90" t="n">
        <v>0</v>
      </c>
      <c r="J90" t="n">
        <v>0</v>
      </c>
      <c r="K90" t="n">
        <v>0</v>
      </c>
      <c r="L90" t="n">
        <v>0</v>
      </c>
      <c r="M90" t="n">
        <v>0</v>
      </c>
      <c r="N90" t="n">
        <v>0</v>
      </c>
      <c r="O90" t="n">
        <v>0</v>
      </c>
      <c r="P90" t="n">
        <v>0</v>
      </c>
      <c r="Q90" t="n">
        <v>0</v>
      </c>
      <c r="R90" s="2" t="inlineStr"/>
    </row>
    <row r="91" ht="15" customHeight="1">
      <c r="A91" t="inlineStr">
        <is>
          <t>A 18274-2024</t>
        </is>
      </c>
      <c r="B91" s="1" t="n">
        <v>45421.70460648148</v>
      </c>
      <c r="C91" s="1" t="n">
        <v>46033</v>
      </c>
      <c r="D91" t="inlineStr">
        <is>
          <t>ÖREBRO LÄN</t>
        </is>
      </c>
      <c r="E91" t="inlineStr">
        <is>
          <t>LEKEBERG</t>
        </is>
      </c>
      <c r="G91" t="n">
        <v>0.4</v>
      </c>
      <c r="H91" t="n">
        <v>0</v>
      </c>
      <c r="I91" t="n">
        <v>0</v>
      </c>
      <c r="J91" t="n">
        <v>0</v>
      </c>
      <c r="K91" t="n">
        <v>0</v>
      </c>
      <c r="L91" t="n">
        <v>0</v>
      </c>
      <c r="M91" t="n">
        <v>0</v>
      </c>
      <c r="N91" t="n">
        <v>0</v>
      </c>
      <c r="O91" t="n">
        <v>0</v>
      </c>
      <c r="P91" t="n">
        <v>0</v>
      </c>
      <c r="Q91" t="n">
        <v>0</v>
      </c>
      <c r="R91" s="2" t="inlineStr"/>
    </row>
    <row r="92" ht="15" customHeight="1">
      <c r="A92" t="inlineStr">
        <is>
          <t>A 37598-2024</t>
        </is>
      </c>
      <c r="B92" s="1" t="n">
        <v>45541.47604166667</v>
      </c>
      <c r="C92" s="1" t="n">
        <v>46033</v>
      </c>
      <c r="D92" t="inlineStr">
        <is>
          <t>ÖREBRO LÄN</t>
        </is>
      </c>
      <c r="E92" t="inlineStr">
        <is>
          <t>LEKEBERG</t>
        </is>
      </c>
      <c r="G92" t="n">
        <v>1.7</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46033</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12596-2025</t>
        </is>
      </c>
      <c r="B94" s="1" t="n">
        <v>45733.28476851852</v>
      </c>
      <c r="C94" s="1" t="n">
        <v>46033</v>
      </c>
      <c r="D94" t="inlineStr">
        <is>
          <t>ÖREBRO LÄN</t>
        </is>
      </c>
      <c r="E94" t="inlineStr">
        <is>
          <t>LEKEBERG</t>
        </is>
      </c>
      <c r="G94" t="n">
        <v>1.6</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46033</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46810-2025</t>
        </is>
      </c>
      <c r="B96" s="1" t="n">
        <v>45926.69480324074</v>
      </c>
      <c r="C96" s="1" t="n">
        <v>46033</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12516-2025</t>
        </is>
      </c>
      <c r="B97" s="1" t="n">
        <v>45730.65107638889</v>
      </c>
      <c r="C97" s="1" t="n">
        <v>46033</v>
      </c>
      <c r="D97" t="inlineStr">
        <is>
          <t>ÖREBRO LÄN</t>
        </is>
      </c>
      <c r="E97" t="inlineStr">
        <is>
          <t>LEKEBERG</t>
        </is>
      </c>
      <c r="F97" t="inlineStr">
        <is>
          <t>Allmännings- och besparingsskogar</t>
        </is>
      </c>
      <c r="G97" t="n">
        <v>4.8</v>
      </c>
      <c r="H97" t="n">
        <v>0</v>
      </c>
      <c r="I97" t="n">
        <v>0</v>
      </c>
      <c r="J97" t="n">
        <v>0</v>
      </c>
      <c r="K97" t="n">
        <v>0</v>
      </c>
      <c r="L97" t="n">
        <v>0</v>
      </c>
      <c r="M97" t="n">
        <v>0</v>
      </c>
      <c r="N97" t="n">
        <v>0</v>
      </c>
      <c r="O97" t="n">
        <v>0</v>
      </c>
      <c r="P97" t="n">
        <v>0</v>
      </c>
      <c r="Q97" t="n">
        <v>0</v>
      </c>
      <c r="R97" s="2" t="inlineStr"/>
    </row>
    <row r="98" ht="15" customHeight="1">
      <c r="A98" t="inlineStr">
        <is>
          <t>A 56282-2023</t>
        </is>
      </c>
      <c r="B98" s="1" t="n">
        <v>45241.82328703703</v>
      </c>
      <c r="C98" s="1" t="n">
        <v>46033</v>
      </c>
      <c r="D98" t="inlineStr">
        <is>
          <t>ÖREBRO LÄN</t>
        </is>
      </c>
      <c r="E98" t="inlineStr">
        <is>
          <t>LEKEBERG</t>
        </is>
      </c>
      <c r="G98" t="n">
        <v>6.8</v>
      </c>
      <c r="H98" t="n">
        <v>0</v>
      </c>
      <c r="I98" t="n">
        <v>0</v>
      </c>
      <c r="J98" t="n">
        <v>0</v>
      </c>
      <c r="K98" t="n">
        <v>0</v>
      </c>
      <c r="L98" t="n">
        <v>0</v>
      </c>
      <c r="M98" t="n">
        <v>0</v>
      </c>
      <c r="N98" t="n">
        <v>0</v>
      </c>
      <c r="O98" t="n">
        <v>0</v>
      </c>
      <c r="P98" t="n">
        <v>0</v>
      </c>
      <c r="Q98" t="n">
        <v>0</v>
      </c>
      <c r="R98" s="2" t="inlineStr"/>
    </row>
    <row r="99" ht="15" customHeight="1">
      <c r="A99" t="inlineStr">
        <is>
          <t>A 44650-2024</t>
        </is>
      </c>
      <c r="B99" s="1" t="n">
        <v>45574</v>
      </c>
      <c r="C99" s="1" t="n">
        <v>46033</v>
      </c>
      <c r="D99" t="inlineStr">
        <is>
          <t>ÖREBRO LÄN</t>
        </is>
      </c>
      <c r="E99" t="inlineStr">
        <is>
          <t>LEKEBERG</t>
        </is>
      </c>
      <c r="G99" t="n">
        <v>8</v>
      </c>
      <c r="H99" t="n">
        <v>0</v>
      </c>
      <c r="I99" t="n">
        <v>0</v>
      </c>
      <c r="J99" t="n">
        <v>0</v>
      </c>
      <c r="K99" t="n">
        <v>0</v>
      </c>
      <c r="L99" t="n">
        <v>0</v>
      </c>
      <c r="M99" t="n">
        <v>0</v>
      </c>
      <c r="N99" t="n">
        <v>0</v>
      </c>
      <c r="O99" t="n">
        <v>0</v>
      </c>
      <c r="P99" t="n">
        <v>0</v>
      </c>
      <c r="Q99" t="n">
        <v>0</v>
      </c>
      <c r="R99" s="2" t="inlineStr"/>
    </row>
    <row r="100" ht="15" customHeight="1">
      <c r="A100" t="inlineStr">
        <is>
          <t>A 37042-2024</t>
        </is>
      </c>
      <c r="B100" s="1" t="n">
        <v>45539</v>
      </c>
      <c r="C100" s="1" t="n">
        <v>46033</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46033</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7202-2023</t>
        </is>
      </c>
      <c r="B102" s="1" t="n">
        <v>44965</v>
      </c>
      <c r="C102" s="1" t="n">
        <v>46033</v>
      </c>
      <c r="D102" t="inlineStr">
        <is>
          <t>ÖREBRO LÄN</t>
        </is>
      </c>
      <c r="E102" t="inlineStr">
        <is>
          <t>LEKEBERG</t>
        </is>
      </c>
      <c r="G102" t="n">
        <v>2.6</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46033</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27638-2025</t>
        </is>
      </c>
      <c r="B104" s="1" t="n">
        <v>45813</v>
      </c>
      <c r="C104" s="1" t="n">
        <v>46033</v>
      </c>
      <c r="D104" t="inlineStr">
        <is>
          <t>ÖREBRO LÄN</t>
        </is>
      </c>
      <c r="E104" t="inlineStr">
        <is>
          <t>LEKEBERG</t>
        </is>
      </c>
      <c r="G104" t="n">
        <v>1.1</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46033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19045-2023</t>
        </is>
      </c>
      <c r="B106" s="1" t="n">
        <v>45047</v>
      </c>
      <c r="C106" s="1" t="n">
        <v>46033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53407-2025</t>
        </is>
      </c>
      <c r="B107" s="1" t="n">
        <v>45959.57350694444</v>
      </c>
      <c r="C107" s="1" t="n">
        <v>46033</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10273-2023</t>
        </is>
      </c>
      <c r="B108" s="1" t="n">
        <v>44986</v>
      </c>
      <c r="C108" s="1" t="n">
        <v>46033</v>
      </c>
      <c r="D108" t="inlineStr">
        <is>
          <t>ÖREBRO LÄN</t>
        </is>
      </c>
      <c r="E108" t="inlineStr">
        <is>
          <t>LEKEBERG</t>
        </is>
      </c>
      <c r="G108" t="n">
        <v>12.8</v>
      </c>
      <c r="H108" t="n">
        <v>0</v>
      </c>
      <c r="I108" t="n">
        <v>0</v>
      </c>
      <c r="J108" t="n">
        <v>0</v>
      </c>
      <c r="K108" t="n">
        <v>0</v>
      </c>
      <c r="L108" t="n">
        <v>0</v>
      </c>
      <c r="M108" t="n">
        <v>0</v>
      </c>
      <c r="N108" t="n">
        <v>0</v>
      </c>
      <c r="O108" t="n">
        <v>0</v>
      </c>
      <c r="P108" t="n">
        <v>0</v>
      </c>
      <c r="Q108" t="n">
        <v>0</v>
      </c>
      <c r="R108" s="2" t="inlineStr"/>
    </row>
    <row r="109" ht="15" customHeight="1">
      <c r="A109" t="inlineStr">
        <is>
          <t>A 19178-2025</t>
        </is>
      </c>
      <c r="B109" s="1" t="n">
        <v>45769</v>
      </c>
      <c r="C109" s="1" t="n">
        <v>46033</v>
      </c>
      <c r="D109" t="inlineStr">
        <is>
          <t>ÖREBRO LÄN</t>
        </is>
      </c>
      <c r="E109" t="inlineStr">
        <is>
          <t>LEKEBERG</t>
        </is>
      </c>
      <c r="G109" t="n">
        <v>3.6</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46033</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30722-2023</t>
        </is>
      </c>
      <c r="B111" s="1" t="n">
        <v>45112</v>
      </c>
      <c r="C111" s="1" t="n">
        <v>46033</v>
      </c>
      <c r="D111" t="inlineStr">
        <is>
          <t>ÖREBRO LÄN</t>
        </is>
      </c>
      <c r="E111" t="inlineStr">
        <is>
          <t>LEKEBERG</t>
        </is>
      </c>
      <c r="F111" t="inlineStr">
        <is>
          <t>Allmännings- och besparingsskogar</t>
        </is>
      </c>
      <c r="G111" t="n">
        <v>21.2</v>
      </c>
      <c r="H111" t="n">
        <v>0</v>
      </c>
      <c r="I111" t="n">
        <v>0</v>
      </c>
      <c r="J111" t="n">
        <v>0</v>
      </c>
      <c r="K111" t="n">
        <v>0</v>
      </c>
      <c r="L111" t="n">
        <v>0</v>
      </c>
      <c r="M111" t="n">
        <v>0</v>
      </c>
      <c r="N111" t="n">
        <v>0</v>
      </c>
      <c r="O111" t="n">
        <v>0</v>
      </c>
      <c r="P111" t="n">
        <v>0</v>
      </c>
      <c r="Q111" t="n">
        <v>0</v>
      </c>
      <c r="R111" s="2" t="inlineStr"/>
    </row>
    <row r="112" ht="15" customHeight="1">
      <c r="A112" t="inlineStr">
        <is>
          <t>A 6101-2024</t>
        </is>
      </c>
      <c r="B112" s="1" t="n">
        <v>45337</v>
      </c>
      <c r="C112" s="1" t="n">
        <v>46033</v>
      </c>
      <c r="D112" t="inlineStr">
        <is>
          <t>ÖREBRO LÄN</t>
        </is>
      </c>
      <c r="E112" t="inlineStr">
        <is>
          <t>LEKEBERG</t>
        </is>
      </c>
      <c r="G112" t="n">
        <v>4.2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46033</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46033</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46033</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9769-2025</t>
        </is>
      </c>
      <c r="B116" s="1" t="n">
        <v>45716.48861111111</v>
      </c>
      <c r="C116" s="1" t="n">
        <v>46033</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37898-2025</t>
        </is>
      </c>
      <c r="B117" s="1" t="n">
        <v>45881.55846064815</v>
      </c>
      <c r="C117" s="1" t="n">
        <v>46033</v>
      </c>
      <c r="D117" t="inlineStr">
        <is>
          <t>ÖREBRO LÄN</t>
        </is>
      </c>
      <c r="E117" t="inlineStr">
        <is>
          <t>LEKEBERG</t>
        </is>
      </c>
      <c r="G117" t="n">
        <v>3.3</v>
      </c>
      <c r="H117" t="n">
        <v>0</v>
      </c>
      <c r="I117" t="n">
        <v>0</v>
      </c>
      <c r="J117" t="n">
        <v>0</v>
      </c>
      <c r="K117" t="n">
        <v>0</v>
      </c>
      <c r="L117" t="n">
        <v>0</v>
      </c>
      <c r="M117" t="n">
        <v>0</v>
      </c>
      <c r="N117" t="n">
        <v>0</v>
      </c>
      <c r="O117" t="n">
        <v>0</v>
      </c>
      <c r="P117" t="n">
        <v>0</v>
      </c>
      <c r="Q117" t="n">
        <v>0</v>
      </c>
      <c r="R117" s="2" t="inlineStr"/>
    </row>
    <row r="118" ht="15" customHeight="1">
      <c r="A118" t="inlineStr">
        <is>
          <t>A 61584-2025</t>
        </is>
      </c>
      <c r="B118" s="1" t="n">
        <v>46002.34265046296</v>
      </c>
      <c r="C118" s="1" t="n">
        <v>46033</v>
      </c>
      <c r="D118" t="inlineStr">
        <is>
          <t>ÖREBRO LÄN</t>
        </is>
      </c>
      <c r="E118" t="inlineStr">
        <is>
          <t>LEKEBERG</t>
        </is>
      </c>
      <c r="G118" t="n">
        <v>1.7</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46033</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44343-2022</t>
        </is>
      </c>
      <c r="B120" s="1" t="n">
        <v>44839.67604166667</v>
      </c>
      <c r="C120" s="1" t="n">
        <v>46033</v>
      </c>
      <c r="D120" t="inlineStr">
        <is>
          <t>ÖREBRO LÄN</t>
        </is>
      </c>
      <c r="E120" t="inlineStr">
        <is>
          <t>LEKEBERG</t>
        </is>
      </c>
      <c r="G120" t="n">
        <v>2.9</v>
      </c>
      <c r="H120" t="n">
        <v>0</v>
      </c>
      <c r="I120" t="n">
        <v>0</v>
      </c>
      <c r="J120" t="n">
        <v>0</v>
      </c>
      <c r="K120" t="n">
        <v>0</v>
      </c>
      <c r="L120" t="n">
        <v>0</v>
      </c>
      <c r="M120" t="n">
        <v>0</v>
      </c>
      <c r="N120" t="n">
        <v>0</v>
      </c>
      <c r="O120" t="n">
        <v>0</v>
      </c>
      <c r="P120" t="n">
        <v>0</v>
      </c>
      <c r="Q120" t="n">
        <v>0</v>
      </c>
      <c r="R120" s="2" t="inlineStr"/>
    </row>
    <row r="121" ht="15" customHeight="1">
      <c r="A121" t="inlineStr">
        <is>
          <t>A 11794-2023</t>
        </is>
      </c>
      <c r="B121" s="1" t="n">
        <v>44994</v>
      </c>
      <c r="C121" s="1" t="n">
        <v>46033</v>
      </c>
      <c r="D121" t="inlineStr">
        <is>
          <t>ÖREBRO LÄN</t>
        </is>
      </c>
      <c r="E121" t="inlineStr">
        <is>
          <t>LEKEBERG</t>
        </is>
      </c>
      <c r="G121" t="n">
        <v>7.6</v>
      </c>
      <c r="H121" t="n">
        <v>0</v>
      </c>
      <c r="I121" t="n">
        <v>0</v>
      </c>
      <c r="J121" t="n">
        <v>0</v>
      </c>
      <c r="K121" t="n">
        <v>0</v>
      </c>
      <c r="L121" t="n">
        <v>0</v>
      </c>
      <c r="M121" t="n">
        <v>0</v>
      </c>
      <c r="N121" t="n">
        <v>0</v>
      </c>
      <c r="O121" t="n">
        <v>0</v>
      </c>
      <c r="P121" t="n">
        <v>0</v>
      </c>
      <c r="Q121" t="n">
        <v>0</v>
      </c>
      <c r="R121" s="2" t="inlineStr"/>
    </row>
    <row r="122" ht="15" customHeight="1">
      <c r="A122" t="inlineStr">
        <is>
          <t>A 38297-2025</t>
        </is>
      </c>
      <c r="B122" s="1" t="n">
        <v>45883.45506944445</v>
      </c>
      <c r="C122" s="1" t="n">
        <v>46033</v>
      </c>
      <c r="D122" t="inlineStr">
        <is>
          <t>ÖREBRO LÄN</t>
        </is>
      </c>
      <c r="E122" t="inlineStr">
        <is>
          <t>LEKEBERG</t>
        </is>
      </c>
      <c r="G122" t="n">
        <v>2.2</v>
      </c>
      <c r="H122" t="n">
        <v>0</v>
      </c>
      <c r="I122" t="n">
        <v>0</v>
      </c>
      <c r="J122" t="n">
        <v>0</v>
      </c>
      <c r="K122" t="n">
        <v>0</v>
      </c>
      <c r="L122" t="n">
        <v>0</v>
      </c>
      <c r="M122" t="n">
        <v>0</v>
      </c>
      <c r="N122" t="n">
        <v>0</v>
      </c>
      <c r="O122" t="n">
        <v>0</v>
      </c>
      <c r="P122" t="n">
        <v>0</v>
      </c>
      <c r="Q122" t="n">
        <v>0</v>
      </c>
      <c r="R122" s="2" t="inlineStr"/>
    </row>
    <row r="123" ht="15" customHeight="1">
      <c r="A123" t="inlineStr">
        <is>
          <t>A 11289-2025</t>
        </is>
      </c>
      <c r="B123" s="1" t="n">
        <v>45726.42762731481</v>
      </c>
      <c r="C123" s="1" t="n">
        <v>46033</v>
      </c>
      <c r="D123" t="inlineStr">
        <is>
          <t>ÖREBRO LÄN</t>
        </is>
      </c>
      <c r="E123" t="inlineStr">
        <is>
          <t>LEKEBERG</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40329-2024</t>
        </is>
      </c>
      <c r="B124" s="1" t="n">
        <v>45555</v>
      </c>
      <c r="C124" s="1" t="n">
        <v>46033</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27947-2023</t>
        </is>
      </c>
      <c r="B125" s="1" t="n">
        <v>45098.66921296297</v>
      </c>
      <c r="C125" s="1" t="n">
        <v>46033</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33336-2023</t>
        </is>
      </c>
      <c r="B126" s="1" t="n">
        <v>45128.33729166666</v>
      </c>
      <c r="C126" s="1" t="n">
        <v>46033</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33337-2023</t>
        </is>
      </c>
      <c r="B127" s="1" t="n">
        <v>45128.3400925926</v>
      </c>
      <c r="C127" s="1" t="n">
        <v>46033</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58935-2023</t>
        </is>
      </c>
      <c r="B128" s="1" t="n">
        <v>45250</v>
      </c>
      <c r="C128" s="1" t="n">
        <v>46033</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46033</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62297-2025</t>
        </is>
      </c>
      <c r="B130" s="1" t="n">
        <v>46006.64673611111</v>
      </c>
      <c r="C130" s="1" t="n">
        <v>46033</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46033</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54770-2025</t>
        </is>
      </c>
      <c r="B132" s="1" t="n">
        <v>45966.60803240741</v>
      </c>
      <c r="C132" s="1" t="n">
        <v>46033</v>
      </c>
      <c r="D132" t="inlineStr">
        <is>
          <t>ÖREBRO LÄN</t>
        </is>
      </c>
      <c r="E132" t="inlineStr">
        <is>
          <t>LEKEBERG</t>
        </is>
      </c>
      <c r="G132" t="n">
        <v>4.5</v>
      </c>
      <c r="H132" t="n">
        <v>0</v>
      </c>
      <c r="I132" t="n">
        <v>0</v>
      </c>
      <c r="J132" t="n">
        <v>0</v>
      </c>
      <c r="K132" t="n">
        <v>0</v>
      </c>
      <c r="L132" t="n">
        <v>0</v>
      </c>
      <c r="M132" t="n">
        <v>0</v>
      </c>
      <c r="N132" t="n">
        <v>0</v>
      </c>
      <c r="O132" t="n">
        <v>0</v>
      </c>
      <c r="P132" t="n">
        <v>0</v>
      </c>
      <c r="Q132" t="n">
        <v>0</v>
      </c>
      <c r="R132" s="2" t="inlineStr"/>
    </row>
    <row r="133" ht="15" customHeight="1">
      <c r="A133" t="inlineStr">
        <is>
          <t>A 62961-2025</t>
        </is>
      </c>
      <c r="B133" s="1" t="n">
        <v>46009.45863425926</v>
      </c>
      <c r="C133" s="1" t="n">
        <v>46033</v>
      </c>
      <c r="D133" t="inlineStr">
        <is>
          <t>ÖREBRO LÄN</t>
        </is>
      </c>
      <c r="E133" t="inlineStr">
        <is>
          <t>LEKEBERG</t>
        </is>
      </c>
      <c r="F133" t="inlineStr">
        <is>
          <t>Allmännings- och besparingsskogar</t>
        </is>
      </c>
      <c r="G133" t="n">
        <v>4.6</v>
      </c>
      <c r="H133" t="n">
        <v>0</v>
      </c>
      <c r="I133" t="n">
        <v>0</v>
      </c>
      <c r="J133" t="n">
        <v>0</v>
      </c>
      <c r="K133" t="n">
        <v>0</v>
      </c>
      <c r="L133" t="n">
        <v>0</v>
      </c>
      <c r="M133" t="n">
        <v>0</v>
      </c>
      <c r="N133" t="n">
        <v>0</v>
      </c>
      <c r="O133" t="n">
        <v>0</v>
      </c>
      <c r="P133" t="n">
        <v>0</v>
      </c>
      <c r="Q133" t="n">
        <v>0</v>
      </c>
      <c r="R133" s="2" t="inlineStr"/>
    </row>
    <row r="134" ht="15" customHeight="1">
      <c r="A134" t="inlineStr">
        <is>
          <t>A 62978-2025</t>
        </is>
      </c>
      <c r="B134" s="1" t="n">
        <v>46009.47902777778</v>
      </c>
      <c r="C134" s="1" t="n">
        <v>46033</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55033-2025</t>
        </is>
      </c>
      <c r="B135" s="1" t="n">
        <v>45967</v>
      </c>
      <c r="C135" s="1" t="n">
        <v>46033</v>
      </c>
      <c r="D135" t="inlineStr">
        <is>
          <t>ÖREBRO LÄN</t>
        </is>
      </c>
      <c r="E135" t="inlineStr">
        <is>
          <t>LEKEBERG</t>
        </is>
      </c>
      <c r="G135" t="n">
        <v>0.9</v>
      </c>
      <c r="H135" t="n">
        <v>0</v>
      </c>
      <c r="I135" t="n">
        <v>0</v>
      </c>
      <c r="J135" t="n">
        <v>0</v>
      </c>
      <c r="K135" t="n">
        <v>0</v>
      </c>
      <c r="L135" t="n">
        <v>0</v>
      </c>
      <c r="M135" t="n">
        <v>0</v>
      </c>
      <c r="N135" t="n">
        <v>0</v>
      </c>
      <c r="O135" t="n">
        <v>0</v>
      </c>
      <c r="P135" t="n">
        <v>0</v>
      </c>
      <c r="Q135" t="n">
        <v>0</v>
      </c>
      <c r="R135" s="2" t="inlineStr"/>
    </row>
    <row r="136" ht="15" customHeight="1">
      <c r="A136" t="inlineStr">
        <is>
          <t>A 54804-2025</t>
        </is>
      </c>
      <c r="B136" s="1" t="n">
        <v>45966.64116898148</v>
      </c>
      <c r="C136" s="1" t="n">
        <v>46033</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62939-2025</t>
        </is>
      </c>
      <c r="B137" s="1" t="n">
        <v>46009.4262037037</v>
      </c>
      <c r="C137" s="1" t="n">
        <v>46033</v>
      </c>
      <c r="D137" t="inlineStr">
        <is>
          <t>ÖREBRO LÄN</t>
        </is>
      </c>
      <c r="E137" t="inlineStr">
        <is>
          <t>LEKEBERG</t>
        </is>
      </c>
      <c r="F137" t="inlineStr">
        <is>
          <t>Allmännings- och besparingsskogar</t>
        </is>
      </c>
      <c r="G137" t="n">
        <v>6.8</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46033</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51659-2021</t>
        </is>
      </c>
      <c r="B139" s="1" t="n">
        <v>44462</v>
      </c>
      <c r="C139" s="1" t="n">
        <v>46033</v>
      </c>
      <c r="D139" t="inlineStr">
        <is>
          <t>ÖREBRO LÄN</t>
        </is>
      </c>
      <c r="E139" t="inlineStr">
        <is>
          <t>LEKEBERG</t>
        </is>
      </c>
      <c r="G139" t="n">
        <v>3.1</v>
      </c>
      <c r="H139" t="n">
        <v>0</v>
      </c>
      <c r="I139" t="n">
        <v>0</v>
      </c>
      <c r="J139" t="n">
        <v>0</v>
      </c>
      <c r="K139" t="n">
        <v>0</v>
      </c>
      <c r="L139" t="n">
        <v>0</v>
      </c>
      <c r="M139" t="n">
        <v>0</v>
      </c>
      <c r="N139" t="n">
        <v>0</v>
      </c>
      <c r="O139" t="n">
        <v>0</v>
      </c>
      <c r="P139" t="n">
        <v>0</v>
      </c>
      <c r="Q139" t="n">
        <v>0</v>
      </c>
      <c r="R139" s="2" t="inlineStr"/>
    </row>
    <row r="140" ht="15" customHeight="1">
      <c r="A140" t="inlineStr">
        <is>
          <t>A 41551-2024</t>
        </is>
      </c>
      <c r="B140" s="1" t="n">
        <v>45560</v>
      </c>
      <c r="C140" s="1" t="n">
        <v>46033</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6843-2024</t>
        </is>
      </c>
      <c r="B141" s="1" t="n">
        <v>45342.62711805556</v>
      </c>
      <c r="C141" s="1" t="n">
        <v>46033</v>
      </c>
      <c r="D141" t="inlineStr">
        <is>
          <t>ÖREBRO LÄN</t>
        </is>
      </c>
      <c r="E141" t="inlineStr">
        <is>
          <t>LEKEBERG</t>
        </is>
      </c>
      <c r="G141" t="n">
        <v>4.4</v>
      </c>
      <c r="H141" t="n">
        <v>0</v>
      </c>
      <c r="I141" t="n">
        <v>0</v>
      </c>
      <c r="J141" t="n">
        <v>0</v>
      </c>
      <c r="K141" t="n">
        <v>0</v>
      </c>
      <c r="L141" t="n">
        <v>0</v>
      </c>
      <c r="M141" t="n">
        <v>0</v>
      </c>
      <c r="N141" t="n">
        <v>0</v>
      </c>
      <c r="O141" t="n">
        <v>0</v>
      </c>
      <c r="P141" t="n">
        <v>0</v>
      </c>
      <c r="Q141" t="n">
        <v>0</v>
      </c>
      <c r="R141" s="2" t="inlineStr"/>
    </row>
    <row r="142" ht="15" customHeight="1">
      <c r="A142" t="inlineStr">
        <is>
          <t>A 61581-2025</t>
        </is>
      </c>
      <c r="B142" s="1" t="n">
        <v>46002.33817129629</v>
      </c>
      <c r="C142" s="1" t="n">
        <v>46033</v>
      </c>
      <c r="D142" t="inlineStr">
        <is>
          <t>ÖREBRO LÄN</t>
        </is>
      </c>
      <c r="E142" t="inlineStr">
        <is>
          <t>LEKEBERG</t>
        </is>
      </c>
      <c r="G142" t="n">
        <v>6.9</v>
      </c>
      <c r="H142" t="n">
        <v>0</v>
      </c>
      <c r="I142" t="n">
        <v>0</v>
      </c>
      <c r="J142" t="n">
        <v>0</v>
      </c>
      <c r="K142" t="n">
        <v>0</v>
      </c>
      <c r="L142" t="n">
        <v>0</v>
      </c>
      <c r="M142" t="n">
        <v>0</v>
      </c>
      <c r="N142" t="n">
        <v>0</v>
      </c>
      <c r="O142" t="n">
        <v>0</v>
      </c>
      <c r="P142" t="n">
        <v>0</v>
      </c>
      <c r="Q142" t="n">
        <v>0</v>
      </c>
      <c r="R142" s="2" t="inlineStr"/>
    </row>
    <row r="143" ht="15" customHeight="1">
      <c r="A143" t="inlineStr">
        <is>
          <t>A 6757-2021</t>
        </is>
      </c>
      <c r="B143" s="1" t="n">
        <v>44236</v>
      </c>
      <c r="C143" s="1" t="n">
        <v>46033</v>
      </c>
      <c r="D143" t="inlineStr">
        <is>
          <t>ÖREBRO LÄN</t>
        </is>
      </c>
      <c r="E143" t="inlineStr">
        <is>
          <t>LEKEBERG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55842-2025</t>
        </is>
      </c>
      <c r="B144" s="1" t="n">
        <v>45973.29060185186</v>
      </c>
      <c r="C144" s="1" t="n">
        <v>46033</v>
      </c>
      <c r="D144" t="inlineStr">
        <is>
          <t>ÖREBRO LÄN</t>
        </is>
      </c>
      <c r="E144" t="inlineStr">
        <is>
          <t>LEKEBERG</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6140-2025</t>
        </is>
      </c>
      <c r="B145" s="1" t="n">
        <v>45698.3849537037</v>
      </c>
      <c r="C145" s="1" t="n">
        <v>46033</v>
      </c>
      <c r="D145" t="inlineStr">
        <is>
          <t>ÖREBRO LÄN</t>
        </is>
      </c>
      <c r="E145" t="inlineStr">
        <is>
          <t>LEKEBERG</t>
        </is>
      </c>
      <c r="G145" t="n">
        <v>0.5</v>
      </c>
      <c r="H145" t="n">
        <v>0</v>
      </c>
      <c r="I145" t="n">
        <v>0</v>
      </c>
      <c r="J145" t="n">
        <v>0</v>
      </c>
      <c r="K145" t="n">
        <v>0</v>
      </c>
      <c r="L145" t="n">
        <v>0</v>
      </c>
      <c r="M145" t="n">
        <v>0</v>
      </c>
      <c r="N145" t="n">
        <v>0</v>
      </c>
      <c r="O145" t="n">
        <v>0</v>
      </c>
      <c r="P145" t="n">
        <v>0</v>
      </c>
      <c r="Q145" t="n">
        <v>0</v>
      </c>
      <c r="R145" s="2" t="inlineStr"/>
    </row>
    <row r="146" ht="15" customHeight="1">
      <c r="A146" t="inlineStr">
        <is>
          <t>A 12140-2023</t>
        </is>
      </c>
      <c r="B146" s="1" t="n">
        <v>44998.46677083334</v>
      </c>
      <c r="C146" s="1" t="n">
        <v>46033</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22323-2023</t>
        </is>
      </c>
      <c r="B147" s="1" t="n">
        <v>45068</v>
      </c>
      <c r="C147" s="1" t="n">
        <v>46033</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41350-2023</t>
        </is>
      </c>
      <c r="B148" s="1" t="n">
        <v>45174</v>
      </c>
      <c r="C148" s="1" t="n">
        <v>46033</v>
      </c>
      <c r="D148" t="inlineStr">
        <is>
          <t>ÖREBRO LÄN</t>
        </is>
      </c>
      <c r="E148" t="inlineStr">
        <is>
          <t>LEKEBERG</t>
        </is>
      </c>
      <c r="F148" t="inlineStr">
        <is>
          <t>Allmännings- och besparingsskogar</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46033</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54959-2023</t>
        </is>
      </c>
      <c r="B150" s="1" t="n">
        <v>45236</v>
      </c>
      <c r="C150" s="1" t="n">
        <v>46033</v>
      </c>
      <c r="D150" t="inlineStr">
        <is>
          <t>ÖREBRO LÄN</t>
        </is>
      </c>
      <c r="E150" t="inlineStr">
        <is>
          <t>LEKEBERG</t>
        </is>
      </c>
      <c r="G150" t="n">
        <v>2</v>
      </c>
      <c r="H150" t="n">
        <v>0</v>
      </c>
      <c r="I150" t="n">
        <v>0</v>
      </c>
      <c r="J150" t="n">
        <v>0</v>
      </c>
      <c r="K150" t="n">
        <v>0</v>
      </c>
      <c r="L150" t="n">
        <v>0</v>
      </c>
      <c r="M150" t="n">
        <v>0</v>
      </c>
      <c r="N150" t="n">
        <v>0</v>
      </c>
      <c r="O150" t="n">
        <v>0</v>
      </c>
      <c r="P150" t="n">
        <v>0</v>
      </c>
      <c r="Q150" t="n">
        <v>0</v>
      </c>
      <c r="R150" s="2" t="inlineStr"/>
    </row>
    <row r="151" ht="15" customHeight="1">
      <c r="A151" t="inlineStr">
        <is>
          <t>A 13757-2025</t>
        </is>
      </c>
      <c r="B151" s="1" t="n">
        <v>45737.41730324074</v>
      </c>
      <c r="C151" s="1" t="n">
        <v>46033</v>
      </c>
      <c r="D151" t="inlineStr">
        <is>
          <t>ÖREBRO LÄN</t>
        </is>
      </c>
      <c r="E151" t="inlineStr">
        <is>
          <t>LEKEBERG</t>
        </is>
      </c>
      <c r="F151" t="inlineStr">
        <is>
          <t>Sveaskog</t>
        </is>
      </c>
      <c r="G151" t="n">
        <v>12.8</v>
      </c>
      <c r="H151" t="n">
        <v>0</v>
      </c>
      <c r="I151" t="n">
        <v>0</v>
      </c>
      <c r="J151" t="n">
        <v>0</v>
      </c>
      <c r="K151" t="n">
        <v>0</v>
      </c>
      <c r="L151" t="n">
        <v>0</v>
      </c>
      <c r="M151" t="n">
        <v>0</v>
      </c>
      <c r="N151" t="n">
        <v>0</v>
      </c>
      <c r="O151" t="n">
        <v>0</v>
      </c>
      <c r="P151" t="n">
        <v>0</v>
      </c>
      <c r="Q151" t="n">
        <v>0</v>
      </c>
      <c r="R151" s="2" t="inlineStr"/>
    </row>
    <row r="152" ht="15" customHeight="1">
      <c r="A152" t="inlineStr">
        <is>
          <t>A 58428-2025</t>
        </is>
      </c>
      <c r="B152" s="1" t="n">
        <v>45985.60064814815</v>
      </c>
      <c r="C152" s="1" t="n">
        <v>46033</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46033</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46033</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10467-2025</t>
        </is>
      </c>
      <c r="B155" s="1" t="n">
        <v>45720.83359953704</v>
      </c>
      <c r="C155" s="1" t="n">
        <v>46033</v>
      </c>
      <c r="D155" t="inlineStr">
        <is>
          <t>ÖREBRO LÄN</t>
        </is>
      </c>
      <c r="E155" t="inlineStr">
        <is>
          <t>LEKEBERG</t>
        </is>
      </c>
      <c r="G155" t="n">
        <v>3.8</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44950.58821759259</v>
      </c>
      <c r="C156" s="1" t="n">
        <v>46033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12963-2023</t>
        </is>
      </c>
      <c r="B157" s="1" t="n">
        <v>45001</v>
      </c>
      <c r="C157" s="1" t="n">
        <v>46033</v>
      </c>
      <c r="D157" t="inlineStr">
        <is>
          <t>ÖREBRO LÄN</t>
        </is>
      </c>
      <c r="E157" t="inlineStr">
        <is>
          <t>LEKEBERG</t>
        </is>
      </c>
      <c r="G157" t="n">
        <v>2.4</v>
      </c>
      <c r="H157" t="n">
        <v>0</v>
      </c>
      <c r="I157" t="n">
        <v>0</v>
      </c>
      <c r="J157" t="n">
        <v>0</v>
      </c>
      <c r="K157" t="n">
        <v>0</v>
      </c>
      <c r="L157" t="n">
        <v>0</v>
      </c>
      <c r="M157" t="n">
        <v>0</v>
      </c>
      <c r="N157" t="n">
        <v>0</v>
      </c>
      <c r="O157" t="n">
        <v>0</v>
      </c>
      <c r="P157" t="n">
        <v>0</v>
      </c>
      <c r="Q157" t="n">
        <v>0</v>
      </c>
      <c r="R157" s="2" t="inlineStr"/>
    </row>
    <row r="158" ht="15" customHeight="1">
      <c r="A158" t="inlineStr">
        <is>
          <t>A 1217-2026</t>
        </is>
      </c>
      <c r="B158" s="1" t="n">
        <v>46031.39998842592</v>
      </c>
      <c r="C158" s="1" t="n">
        <v>46033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14734-2024</t>
        </is>
      </c>
      <c r="B159" s="1" t="n">
        <v>45397.5890625</v>
      </c>
      <c r="C159" s="1" t="n">
        <v>46033</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30754-2022</t>
        </is>
      </c>
      <c r="B160" s="1" t="n">
        <v>44764</v>
      </c>
      <c r="C160" s="1" t="n">
        <v>46033</v>
      </c>
      <c r="D160" t="inlineStr">
        <is>
          <t>ÖREBRO LÄN</t>
        </is>
      </c>
      <c r="E160" t="inlineStr">
        <is>
          <t>LEKEBERG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61733-2024</t>
        </is>
      </c>
      <c r="B161" s="1" t="n">
        <v>45649.34486111111</v>
      </c>
      <c r="C161" s="1" t="n">
        <v>46033</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46033</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5373-2024</t>
        </is>
      </c>
      <c r="B163" s="1" t="n">
        <v>45331</v>
      </c>
      <c r="C163" s="1" t="n">
        <v>46033</v>
      </c>
      <c r="D163" t="inlineStr">
        <is>
          <t>ÖREBRO LÄN</t>
        </is>
      </c>
      <c r="E163" t="inlineStr">
        <is>
          <t>LEKEBERG</t>
        </is>
      </c>
      <c r="G163" t="n">
        <v>5.8</v>
      </c>
      <c r="H163" t="n">
        <v>0</v>
      </c>
      <c r="I163" t="n">
        <v>0</v>
      </c>
      <c r="J163" t="n">
        <v>0</v>
      </c>
      <c r="K163" t="n">
        <v>0</v>
      </c>
      <c r="L163" t="n">
        <v>0</v>
      </c>
      <c r="M163" t="n">
        <v>0</v>
      </c>
      <c r="N163" t="n">
        <v>0</v>
      </c>
      <c r="O163" t="n">
        <v>0</v>
      </c>
      <c r="P163" t="n">
        <v>0</v>
      </c>
      <c r="Q163" t="n">
        <v>0</v>
      </c>
      <c r="R163" s="2" t="inlineStr"/>
    </row>
    <row r="164" ht="15" customHeight="1">
      <c r="A164" t="inlineStr">
        <is>
          <t>A 15597-2025</t>
        </is>
      </c>
      <c r="B164" s="1" t="n">
        <v>45747.9108449074</v>
      </c>
      <c r="C164" s="1" t="n">
        <v>46033</v>
      </c>
      <c r="D164" t="inlineStr">
        <is>
          <t>ÖREBRO LÄN</t>
        </is>
      </c>
      <c r="E164" t="inlineStr">
        <is>
          <t>LEKEBERG</t>
        </is>
      </c>
      <c r="G164" t="n">
        <v>4.2</v>
      </c>
      <c r="H164" t="n">
        <v>0</v>
      </c>
      <c r="I164" t="n">
        <v>0</v>
      </c>
      <c r="J164" t="n">
        <v>0</v>
      </c>
      <c r="K164" t="n">
        <v>0</v>
      </c>
      <c r="L164" t="n">
        <v>0</v>
      </c>
      <c r="M164" t="n">
        <v>0</v>
      </c>
      <c r="N164" t="n">
        <v>0</v>
      </c>
      <c r="O164" t="n">
        <v>0</v>
      </c>
      <c r="P164" t="n">
        <v>0</v>
      </c>
      <c r="Q164" t="n">
        <v>0</v>
      </c>
      <c r="R164" s="2" t="inlineStr"/>
    </row>
    <row r="165" ht="15" customHeight="1">
      <c r="A165" t="inlineStr">
        <is>
          <t>A 59036-2021</t>
        </is>
      </c>
      <c r="B165" s="1" t="n">
        <v>44490</v>
      </c>
      <c r="C165" s="1" t="n">
        <v>46033</v>
      </c>
      <c r="D165" t="inlineStr">
        <is>
          <t>ÖREBRO LÄN</t>
        </is>
      </c>
      <c r="E165" t="inlineStr">
        <is>
          <t>LEKEBERG</t>
        </is>
      </c>
      <c r="F165" t="inlineStr">
        <is>
          <t>Allmännings- och besparingsskogar</t>
        </is>
      </c>
      <c r="G165" t="n">
        <v>25.2</v>
      </c>
      <c r="H165" t="n">
        <v>0</v>
      </c>
      <c r="I165" t="n">
        <v>0</v>
      </c>
      <c r="J165" t="n">
        <v>0</v>
      </c>
      <c r="K165" t="n">
        <v>0</v>
      </c>
      <c r="L165" t="n">
        <v>0</v>
      </c>
      <c r="M165" t="n">
        <v>0</v>
      </c>
      <c r="N165" t="n">
        <v>0</v>
      </c>
      <c r="O165" t="n">
        <v>0</v>
      </c>
      <c r="P165" t="n">
        <v>0</v>
      </c>
      <c r="Q165" t="n">
        <v>0</v>
      </c>
      <c r="R165" s="2" t="inlineStr"/>
    </row>
    <row r="166" ht="15" customHeight="1">
      <c r="A166" t="inlineStr">
        <is>
          <t>A 30747-2023</t>
        </is>
      </c>
      <c r="B166" s="1" t="n">
        <v>45112</v>
      </c>
      <c r="C166" s="1" t="n">
        <v>46033</v>
      </c>
      <c r="D166" t="inlineStr">
        <is>
          <t>ÖREBRO LÄN</t>
        </is>
      </c>
      <c r="E166" t="inlineStr">
        <is>
          <t>LEKEBERG</t>
        </is>
      </c>
      <c r="F166" t="inlineStr">
        <is>
          <t>Allmännings- och besparingsskogar</t>
        </is>
      </c>
      <c r="G166" t="n">
        <v>3.8</v>
      </c>
      <c r="H166" t="n">
        <v>0</v>
      </c>
      <c r="I166" t="n">
        <v>0</v>
      </c>
      <c r="J166" t="n">
        <v>0</v>
      </c>
      <c r="K166" t="n">
        <v>0</v>
      </c>
      <c r="L166" t="n">
        <v>0</v>
      </c>
      <c r="M166" t="n">
        <v>0</v>
      </c>
      <c r="N166" t="n">
        <v>0</v>
      </c>
      <c r="O166" t="n">
        <v>0</v>
      </c>
      <c r="P166" t="n">
        <v>0</v>
      </c>
      <c r="Q166" t="n">
        <v>0</v>
      </c>
      <c r="R166" s="2" t="inlineStr"/>
    </row>
    <row r="167" ht="15" customHeight="1">
      <c r="A167" t="inlineStr">
        <is>
          <t>A 14702-2023</t>
        </is>
      </c>
      <c r="B167" s="1" t="n">
        <v>45014</v>
      </c>
      <c r="C167" s="1" t="n">
        <v>46033</v>
      </c>
      <c r="D167" t="inlineStr">
        <is>
          <t>ÖREBRO LÄN</t>
        </is>
      </c>
      <c r="E167" t="inlineStr">
        <is>
          <t>LEKEBERG</t>
        </is>
      </c>
      <c r="G167" t="n">
        <v>12.1</v>
      </c>
      <c r="H167" t="n">
        <v>0</v>
      </c>
      <c r="I167" t="n">
        <v>0</v>
      </c>
      <c r="J167" t="n">
        <v>0</v>
      </c>
      <c r="K167" t="n">
        <v>0</v>
      </c>
      <c r="L167" t="n">
        <v>0</v>
      </c>
      <c r="M167" t="n">
        <v>0</v>
      </c>
      <c r="N167" t="n">
        <v>0</v>
      </c>
      <c r="O167" t="n">
        <v>0</v>
      </c>
      <c r="P167" t="n">
        <v>0</v>
      </c>
      <c r="Q167" t="n">
        <v>0</v>
      </c>
      <c r="R167" s="2" t="inlineStr"/>
    </row>
    <row r="168" ht="15" customHeight="1">
      <c r="A168" t="inlineStr">
        <is>
          <t>A 61644-2023</t>
        </is>
      </c>
      <c r="B168" s="1" t="n">
        <v>45263</v>
      </c>
      <c r="C168" s="1" t="n">
        <v>46033</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18272-2024</t>
        </is>
      </c>
      <c r="B169" s="1" t="n">
        <v>45421.69873842593</v>
      </c>
      <c r="C169" s="1" t="n">
        <v>46033</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47906-2023</t>
        </is>
      </c>
      <c r="B170" s="1" t="n">
        <v>45204</v>
      </c>
      <c r="C170" s="1" t="n">
        <v>46033</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14176-2025</t>
        </is>
      </c>
      <c r="B171" s="1" t="n">
        <v>45740.52974537037</v>
      </c>
      <c r="C171" s="1" t="n">
        <v>46033</v>
      </c>
      <c r="D171" t="inlineStr">
        <is>
          <t>ÖREBRO LÄN</t>
        </is>
      </c>
      <c r="E171" t="inlineStr">
        <is>
          <t>LEKEBERG</t>
        </is>
      </c>
      <c r="G171" t="n">
        <v>0.5</v>
      </c>
      <c r="H171" t="n">
        <v>0</v>
      </c>
      <c r="I171" t="n">
        <v>0</v>
      </c>
      <c r="J171" t="n">
        <v>0</v>
      </c>
      <c r="K171" t="n">
        <v>0</v>
      </c>
      <c r="L171" t="n">
        <v>0</v>
      </c>
      <c r="M171" t="n">
        <v>0</v>
      </c>
      <c r="N171" t="n">
        <v>0</v>
      </c>
      <c r="O171" t="n">
        <v>0</v>
      </c>
      <c r="P171" t="n">
        <v>0</v>
      </c>
      <c r="Q171" t="n">
        <v>0</v>
      </c>
      <c r="R171" s="2" t="inlineStr"/>
    </row>
    <row r="172" ht="15" customHeight="1">
      <c r="A172" t="inlineStr">
        <is>
          <t>A 24913-2023</t>
        </is>
      </c>
      <c r="B172" s="1" t="n">
        <v>45085.49424768519</v>
      </c>
      <c r="C172" s="1" t="n">
        <v>46033</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21042-2023</t>
        </is>
      </c>
      <c r="B173" s="1" t="n">
        <v>45056</v>
      </c>
      <c r="C173" s="1" t="n">
        <v>46033</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56635-2022</t>
        </is>
      </c>
      <c r="B174" s="1" t="n">
        <v>44893</v>
      </c>
      <c r="C174" s="1" t="n">
        <v>46033</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33262-2023</t>
        </is>
      </c>
      <c r="B175" s="1" t="n">
        <v>45127.56380787037</v>
      </c>
      <c r="C175" s="1" t="n">
        <v>46033</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33259-2023</t>
        </is>
      </c>
      <c r="B176" s="1" t="n">
        <v>45127.56025462963</v>
      </c>
      <c r="C176" s="1" t="n">
        <v>46033</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44993.45693287037</v>
      </c>
      <c r="C177" s="1" t="n">
        <v>46033</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47902-2023</t>
        </is>
      </c>
      <c r="B178" s="1" t="n">
        <v>45204.49861111111</v>
      </c>
      <c r="C178" s="1" t="n">
        <v>46033</v>
      </c>
      <c r="D178" t="inlineStr">
        <is>
          <t>ÖREBRO LÄN</t>
        </is>
      </c>
      <c r="E178" t="inlineStr">
        <is>
          <t>LEKEBERG</t>
        </is>
      </c>
      <c r="G178" t="n">
        <v>1.5</v>
      </c>
      <c r="H178" t="n">
        <v>0</v>
      </c>
      <c r="I178" t="n">
        <v>0</v>
      </c>
      <c r="J178" t="n">
        <v>0</v>
      </c>
      <c r="K178" t="n">
        <v>0</v>
      </c>
      <c r="L178" t="n">
        <v>0</v>
      </c>
      <c r="M178" t="n">
        <v>0</v>
      </c>
      <c r="N178" t="n">
        <v>0</v>
      </c>
      <c r="O178" t="n">
        <v>0</v>
      </c>
      <c r="P178" t="n">
        <v>0</v>
      </c>
      <c r="Q178" t="n">
        <v>0</v>
      </c>
      <c r="R178" s="2" t="inlineStr"/>
    </row>
    <row r="179" ht="15" customHeight="1">
      <c r="A179" t="inlineStr">
        <is>
          <t>A 26702-2023</t>
        </is>
      </c>
      <c r="B179" s="1" t="n">
        <v>45093</v>
      </c>
      <c r="C179" s="1" t="n">
        <v>46033</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41008-2024</t>
        </is>
      </c>
      <c r="B180" s="1" t="n">
        <v>45559</v>
      </c>
      <c r="C180" s="1" t="n">
        <v>46033</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64615-2023</t>
        </is>
      </c>
      <c r="B181" s="1" t="n">
        <v>45281.52231481481</v>
      </c>
      <c r="C181" s="1" t="n">
        <v>46033</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16914-2022</t>
        </is>
      </c>
      <c r="B182" s="1" t="n">
        <v>44676.43390046297</v>
      </c>
      <c r="C182" s="1" t="n">
        <v>46033</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10617-2022</t>
        </is>
      </c>
      <c r="B183" s="1" t="n">
        <v>44624</v>
      </c>
      <c r="C183" s="1" t="n">
        <v>46033</v>
      </c>
      <c r="D183" t="inlineStr">
        <is>
          <t>ÖREBRO LÄN</t>
        </is>
      </c>
      <c r="E183" t="inlineStr">
        <is>
          <t>LEKEBERG</t>
        </is>
      </c>
      <c r="G183" t="n">
        <v>7.9</v>
      </c>
      <c r="H183" t="n">
        <v>0</v>
      </c>
      <c r="I183" t="n">
        <v>0</v>
      </c>
      <c r="J183" t="n">
        <v>0</v>
      </c>
      <c r="K183" t="n">
        <v>0</v>
      </c>
      <c r="L183" t="n">
        <v>0</v>
      </c>
      <c r="M183" t="n">
        <v>0</v>
      </c>
      <c r="N183" t="n">
        <v>0</v>
      </c>
      <c r="O183" t="n">
        <v>0</v>
      </c>
      <c r="P183" t="n">
        <v>0</v>
      </c>
      <c r="Q183" t="n">
        <v>0</v>
      </c>
      <c r="R183" s="2" t="inlineStr"/>
    </row>
    <row r="184" ht="15" customHeight="1">
      <c r="A184" t="inlineStr">
        <is>
          <t>A 40240-2024</t>
        </is>
      </c>
      <c r="B184" s="1" t="n">
        <v>45554.61458333334</v>
      </c>
      <c r="C184" s="1" t="n">
        <v>46033</v>
      </c>
      <c r="D184" t="inlineStr">
        <is>
          <t>ÖREBRO LÄN</t>
        </is>
      </c>
      <c r="E184" t="inlineStr">
        <is>
          <t>LEKEBERG</t>
        </is>
      </c>
      <c r="G184" t="n">
        <v>3.6</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46033</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46033</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36516-2023</t>
        </is>
      </c>
      <c r="B187" s="1" t="n">
        <v>45153</v>
      </c>
      <c r="C187" s="1" t="n">
        <v>46033</v>
      </c>
      <c r="D187" t="inlineStr">
        <is>
          <t>ÖREBRO LÄN</t>
        </is>
      </c>
      <c r="E187" t="inlineStr">
        <is>
          <t>LEKEBERG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2038-2025</t>
        </is>
      </c>
      <c r="B188" s="1" t="n">
        <v>45672.49553240741</v>
      </c>
      <c r="C188" s="1" t="n">
        <v>46033</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1157-2025</t>
        </is>
      </c>
      <c r="B189" s="1" t="n">
        <v>45666.75922453704</v>
      </c>
      <c r="C189" s="1" t="n">
        <v>46033</v>
      </c>
      <c r="D189" t="inlineStr">
        <is>
          <t>ÖREBRO LÄN</t>
        </is>
      </c>
      <c r="E189" t="inlineStr">
        <is>
          <t>LEKEBERG</t>
        </is>
      </c>
      <c r="G189" t="n">
        <v>1.3</v>
      </c>
      <c r="H189" t="n">
        <v>0</v>
      </c>
      <c r="I189" t="n">
        <v>0</v>
      </c>
      <c r="J189" t="n">
        <v>0</v>
      </c>
      <c r="K189" t="n">
        <v>0</v>
      </c>
      <c r="L189" t="n">
        <v>0</v>
      </c>
      <c r="M189" t="n">
        <v>0</v>
      </c>
      <c r="N189" t="n">
        <v>0</v>
      </c>
      <c r="O189" t="n">
        <v>0</v>
      </c>
      <c r="P189" t="n">
        <v>0</v>
      </c>
      <c r="Q189" t="n">
        <v>0</v>
      </c>
      <c r="R189" s="2" t="inlineStr"/>
    </row>
    <row r="190" ht="15" customHeight="1">
      <c r="A190" t="inlineStr">
        <is>
          <t>A 31113-2023</t>
        </is>
      </c>
      <c r="B190" s="1" t="n">
        <v>45113</v>
      </c>
      <c r="C190" s="1" t="n">
        <v>46033</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20787-2022</t>
        </is>
      </c>
      <c r="B191" s="1" t="n">
        <v>44701</v>
      </c>
      <c r="C191" s="1" t="n">
        <v>46033</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11289-2023</t>
        </is>
      </c>
      <c r="B192" s="1" t="n">
        <v>44992</v>
      </c>
      <c r="C192" s="1" t="n">
        <v>46033</v>
      </c>
      <c r="D192" t="inlineStr">
        <is>
          <t>ÖREBRO LÄN</t>
        </is>
      </c>
      <c r="E192" t="inlineStr">
        <is>
          <t>LEKEBERG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22137-2022</t>
        </is>
      </c>
      <c r="B193" s="1" t="n">
        <v>44712</v>
      </c>
      <c r="C193" s="1" t="n">
        <v>46033</v>
      </c>
      <c r="D193" t="inlineStr">
        <is>
          <t>ÖREBRO LÄN</t>
        </is>
      </c>
      <c r="E193" t="inlineStr">
        <is>
          <t>LEKEBERG</t>
        </is>
      </c>
      <c r="G193" t="n">
        <v>1.9</v>
      </c>
      <c r="H193" t="n">
        <v>0</v>
      </c>
      <c r="I193" t="n">
        <v>0</v>
      </c>
      <c r="J193" t="n">
        <v>0</v>
      </c>
      <c r="K193" t="n">
        <v>0</v>
      </c>
      <c r="L193" t="n">
        <v>0</v>
      </c>
      <c r="M193" t="n">
        <v>0</v>
      </c>
      <c r="N193" t="n">
        <v>0</v>
      </c>
      <c r="O193" t="n">
        <v>0</v>
      </c>
      <c r="P193" t="n">
        <v>0</v>
      </c>
      <c r="Q193" t="n">
        <v>0</v>
      </c>
      <c r="R193" s="2" t="inlineStr"/>
    </row>
    <row r="194" ht="15" customHeight="1">
      <c r="A194" t="inlineStr">
        <is>
          <t>A 41233-2024</t>
        </is>
      </c>
      <c r="B194" s="1" t="n">
        <v>45559</v>
      </c>
      <c r="C194" s="1" t="n">
        <v>46033</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54227-2024</t>
        </is>
      </c>
      <c r="B195" s="1" t="n">
        <v>45616</v>
      </c>
      <c r="C195" s="1" t="n">
        <v>46033</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39872-2024</t>
        </is>
      </c>
      <c r="B196" s="1" t="n">
        <v>45553</v>
      </c>
      <c r="C196" s="1" t="n">
        <v>46033</v>
      </c>
      <c r="D196" t="inlineStr">
        <is>
          <t>ÖREBRO LÄN</t>
        </is>
      </c>
      <c r="E196" t="inlineStr">
        <is>
          <t>LEKEBERG</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18645-2023</t>
        </is>
      </c>
      <c r="B197" s="1" t="n">
        <v>45043</v>
      </c>
      <c r="C197" s="1" t="n">
        <v>46033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29444-2024</t>
        </is>
      </c>
      <c r="B198" s="1" t="n">
        <v>45483.86464120371</v>
      </c>
      <c r="C198" s="1" t="n">
        <v>46033</v>
      </c>
      <c r="D198" t="inlineStr">
        <is>
          <t>ÖREBRO LÄN</t>
        </is>
      </c>
      <c r="E198" t="inlineStr">
        <is>
          <t>LEKEBERG</t>
        </is>
      </c>
      <c r="G198" t="n">
        <v>4</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46033</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39873-2024</t>
        </is>
      </c>
      <c r="B200" s="1" t="n">
        <v>45553</v>
      </c>
      <c r="C200" s="1" t="n">
        <v>46033</v>
      </c>
      <c r="D200" t="inlineStr">
        <is>
          <t>ÖREBRO LÄN</t>
        </is>
      </c>
      <c r="E200" t="inlineStr">
        <is>
          <t>LEKEBERG</t>
        </is>
      </c>
      <c r="F200" t="inlineStr">
        <is>
          <t>Sveaskog</t>
        </is>
      </c>
      <c r="G200" t="n">
        <v>3.2</v>
      </c>
      <c r="H200" t="n">
        <v>0</v>
      </c>
      <c r="I200" t="n">
        <v>0</v>
      </c>
      <c r="J200" t="n">
        <v>0</v>
      </c>
      <c r="K200" t="n">
        <v>0</v>
      </c>
      <c r="L200" t="n">
        <v>0</v>
      </c>
      <c r="M200" t="n">
        <v>0</v>
      </c>
      <c r="N200" t="n">
        <v>0</v>
      </c>
      <c r="O200" t="n">
        <v>0</v>
      </c>
      <c r="P200" t="n">
        <v>0</v>
      </c>
      <c r="Q200" t="n">
        <v>0</v>
      </c>
      <c r="R200" s="2" t="inlineStr"/>
      <c r="U200">
        <f>HYPERLINK("https://klasma.github.io/Logging_1814/knärot/A 39873-2024 karta knärot.png", "A 39873-2024")</f>
        <v/>
      </c>
      <c r="V200">
        <f>HYPERLINK("https://klasma.github.io/Logging_1814/klagomål/A 39873-2024 FSC-klagomål.docx", "A 39873-2024")</f>
        <v/>
      </c>
      <c r="W200">
        <f>HYPERLINK("https://klasma.github.io/Logging_1814/klagomålsmail/A 39873-2024 FSC-klagomål mail.docx", "A 39873-2024")</f>
        <v/>
      </c>
      <c r="X200">
        <f>HYPERLINK("https://klasma.github.io/Logging_1814/tillsyn/A 39873-2024 tillsynsbegäran.docx", "A 39873-2024")</f>
        <v/>
      </c>
      <c r="Y200">
        <f>HYPERLINK("https://klasma.github.io/Logging_1814/tillsynsmail/A 39873-2024 tillsynsbegäran mail.docx", "A 39873-2024")</f>
        <v/>
      </c>
    </row>
    <row r="201" ht="15" customHeight="1">
      <c r="A201" t="inlineStr">
        <is>
          <t>A 4468-2022</t>
        </is>
      </c>
      <c r="B201" s="1" t="n">
        <v>44589</v>
      </c>
      <c r="C201" s="1" t="n">
        <v>46033</v>
      </c>
      <c r="D201" t="inlineStr">
        <is>
          <t>ÖREBRO LÄN</t>
        </is>
      </c>
      <c r="E201" t="inlineStr">
        <is>
          <t>LEKEBERG</t>
        </is>
      </c>
      <c r="G201" t="n">
        <v>4.8</v>
      </c>
      <c r="H201" t="n">
        <v>0</v>
      </c>
      <c r="I201" t="n">
        <v>0</v>
      </c>
      <c r="J201" t="n">
        <v>0</v>
      </c>
      <c r="K201" t="n">
        <v>0</v>
      </c>
      <c r="L201" t="n">
        <v>0</v>
      </c>
      <c r="M201" t="n">
        <v>0</v>
      </c>
      <c r="N201" t="n">
        <v>0</v>
      </c>
      <c r="O201" t="n">
        <v>0</v>
      </c>
      <c r="P201" t="n">
        <v>0</v>
      </c>
      <c r="Q201" t="n">
        <v>0</v>
      </c>
      <c r="R201" s="2" t="inlineStr"/>
    </row>
    <row r="202" ht="15" customHeight="1">
      <c r="A202" t="inlineStr">
        <is>
          <t>A 36444-2022</t>
        </is>
      </c>
      <c r="B202" s="1" t="n">
        <v>44804.38798611111</v>
      </c>
      <c r="C202" s="1" t="n">
        <v>46033</v>
      </c>
      <c r="D202" t="inlineStr">
        <is>
          <t>ÖREBRO LÄN</t>
        </is>
      </c>
      <c r="E202" t="inlineStr">
        <is>
          <t>LEKEBERG</t>
        </is>
      </c>
      <c r="G202" t="n">
        <v>2.7</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46033</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38955-2023</t>
        </is>
      </c>
      <c r="B204" s="1" t="n">
        <v>45163</v>
      </c>
      <c r="C204" s="1" t="n">
        <v>46033</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18400-2025</t>
        </is>
      </c>
      <c r="B205" s="1" t="n">
        <v>45762.59549768519</v>
      </c>
      <c r="C205" s="1" t="n">
        <v>46033</v>
      </c>
      <c r="D205" t="inlineStr">
        <is>
          <t>ÖREBRO LÄN</t>
        </is>
      </c>
      <c r="E205" t="inlineStr">
        <is>
          <t>LEKEBERG</t>
        </is>
      </c>
      <c r="G205" t="n">
        <v>0.7</v>
      </c>
      <c r="H205" t="n">
        <v>0</v>
      </c>
      <c r="I205" t="n">
        <v>0</v>
      </c>
      <c r="J205" t="n">
        <v>0</v>
      </c>
      <c r="K205" t="n">
        <v>0</v>
      </c>
      <c r="L205" t="n">
        <v>0</v>
      </c>
      <c r="M205" t="n">
        <v>0</v>
      </c>
      <c r="N205" t="n">
        <v>0</v>
      </c>
      <c r="O205" t="n">
        <v>0</v>
      </c>
      <c r="P205" t="n">
        <v>0</v>
      </c>
      <c r="Q205" t="n">
        <v>0</v>
      </c>
      <c r="R205" s="2" t="inlineStr"/>
    </row>
    <row r="206" ht="15" customHeight="1">
      <c r="A206" t="inlineStr">
        <is>
          <t>A 11287-2025</t>
        </is>
      </c>
      <c r="B206" s="1" t="n">
        <v>45726.42666666667</v>
      </c>
      <c r="C206" s="1" t="n">
        <v>46033</v>
      </c>
      <c r="D206" t="inlineStr">
        <is>
          <t>ÖREBRO LÄN</t>
        </is>
      </c>
      <c r="E206" t="inlineStr">
        <is>
          <t>LEKEBERG</t>
        </is>
      </c>
      <c r="F206" t="inlineStr">
        <is>
          <t>Sveaskog</t>
        </is>
      </c>
      <c r="G206" t="n">
        <v>5.4</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46033</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39875-2024</t>
        </is>
      </c>
      <c r="B208" s="1" t="n">
        <v>45553</v>
      </c>
      <c r="C208" s="1" t="n">
        <v>46033</v>
      </c>
      <c r="D208" t="inlineStr">
        <is>
          <t>ÖREBRO LÄN</t>
        </is>
      </c>
      <c r="E208" t="inlineStr">
        <is>
          <t>LEKEBERG</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39878-2024</t>
        </is>
      </c>
      <c r="B209" s="1" t="n">
        <v>45553</v>
      </c>
      <c r="C209" s="1" t="n">
        <v>46033</v>
      </c>
      <c r="D209" t="inlineStr">
        <is>
          <t>ÖREBRO LÄN</t>
        </is>
      </c>
      <c r="E209" t="inlineStr">
        <is>
          <t>LEKEBERG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61314-2024</t>
        </is>
      </c>
      <c r="B210" s="1" t="n">
        <v>45646.31635416667</v>
      </c>
      <c r="C210" s="1" t="n">
        <v>46033</v>
      </c>
      <c r="D210" t="inlineStr">
        <is>
          <t>ÖREBRO LÄN</t>
        </is>
      </c>
      <c r="E210" t="inlineStr">
        <is>
          <t>LEKEBERG</t>
        </is>
      </c>
      <c r="G210" t="n">
        <v>1.9</v>
      </c>
      <c r="H210" t="n">
        <v>0</v>
      </c>
      <c r="I210" t="n">
        <v>0</v>
      </c>
      <c r="J210" t="n">
        <v>0</v>
      </c>
      <c r="K210" t="n">
        <v>0</v>
      </c>
      <c r="L210" t="n">
        <v>0</v>
      </c>
      <c r="M210" t="n">
        <v>0</v>
      </c>
      <c r="N210" t="n">
        <v>0</v>
      </c>
      <c r="O210" t="n">
        <v>0</v>
      </c>
      <c r="P210" t="n">
        <v>0</v>
      </c>
      <c r="Q210" t="n">
        <v>0</v>
      </c>
      <c r="R210" s="2" t="inlineStr"/>
    </row>
    <row r="211" ht="15" customHeight="1">
      <c r="A211" t="inlineStr">
        <is>
          <t>A 5559-2024</t>
        </is>
      </c>
      <c r="B211" s="1" t="n">
        <v>45334</v>
      </c>
      <c r="C211" s="1" t="n">
        <v>46033</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48268-2021</t>
        </is>
      </c>
      <c r="B212" s="1" t="n">
        <v>44449.66981481481</v>
      </c>
      <c r="C212" s="1" t="n">
        <v>46033</v>
      </c>
      <c r="D212" t="inlineStr">
        <is>
          <t>ÖREBRO LÄN</t>
        </is>
      </c>
      <c r="E212" t="inlineStr">
        <is>
          <t>LEKEBERG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3643-2023</t>
        </is>
      </c>
      <c r="B213" s="1" t="n">
        <v>44950.69260416667</v>
      </c>
      <c r="C213" s="1" t="n">
        <v>46033</v>
      </c>
      <c r="D213" t="inlineStr">
        <is>
          <t>ÖREBRO LÄN</t>
        </is>
      </c>
      <c r="E213" t="inlineStr">
        <is>
          <t>LEKEBERG</t>
        </is>
      </c>
      <c r="G213" t="n">
        <v>1.5</v>
      </c>
      <c r="H213" t="n">
        <v>0</v>
      </c>
      <c r="I213" t="n">
        <v>0</v>
      </c>
      <c r="J213" t="n">
        <v>0</v>
      </c>
      <c r="K213" t="n">
        <v>0</v>
      </c>
      <c r="L213" t="n">
        <v>0</v>
      </c>
      <c r="M213" t="n">
        <v>0</v>
      </c>
      <c r="N213" t="n">
        <v>0</v>
      </c>
      <c r="O213" t="n">
        <v>0</v>
      </c>
      <c r="P213" t="n">
        <v>0</v>
      </c>
      <c r="Q213" t="n">
        <v>0</v>
      </c>
      <c r="R213" s="2" t="inlineStr"/>
    </row>
    <row r="214" ht="15" customHeight="1">
      <c r="A214" t="inlineStr">
        <is>
          <t>A 28824-2024</t>
        </is>
      </c>
      <c r="B214" s="1" t="n">
        <v>45478</v>
      </c>
      <c r="C214" s="1" t="n">
        <v>46033</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50405-2024</t>
        </is>
      </c>
      <c r="B215" s="1" t="n">
        <v>45601.35753472222</v>
      </c>
      <c r="C215" s="1" t="n">
        <v>46033</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ht="15" customHeight="1">
      <c r="A216" t="inlineStr">
        <is>
          <t>A 4470-2022</t>
        </is>
      </c>
      <c r="B216" s="1" t="n">
        <v>44589</v>
      </c>
      <c r="C216" s="1" t="n">
        <v>46033</v>
      </c>
      <c r="D216" t="inlineStr">
        <is>
          <t>ÖREBRO LÄN</t>
        </is>
      </c>
      <c r="E216" t="inlineStr">
        <is>
          <t>LEKEBERG</t>
        </is>
      </c>
      <c r="G216" t="n">
        <v>1.7</v>
      </c>
      <c r="H216" t="n">
        <v>0</v>
      </c>
      <c r="I216" t="n">
        <v>0</v>
      </c>
      <c r="J216" t="n">
        <v>0</v>
      </c>
      <c r="K216" t="n">
        <v>0</v>
      </c>
      <c r="L216" t="n">
        <v>0</v>
      </c>
      <c r="M216" t="n">
        <v>0</v>
      </c>
      <c r="N216" t="n">
        <v>0</v>
      </c>
      <c r="O216" t="n">
        <v>0</v>
      </c>
      <c r="P216" t="n">
        <v>0</v>
      </c>
      <c r="Q216" t="n">
        <v>0</v>
      </c>
      <c r="R216" s="2" t="inlineStr"/>
    </row>
    <row r="217" ht="15" customHeight="1">
      <c r="A217" t="inlineStr">
        <is>
          <t>A 28579-2022</t>
        </is>
      </c>
      <c r="B217" s="1" t="n">
        <v>44748</v>
      </c>
      <c r="C217" s="1" t="n">
        <v>46033</v>
      </c>
      <c r="D217" t="inlineStr">
        <is>
          <t>ÖREBRO LÄN</t>
        </is>
      </c>
      <c r="E217" t="inlineStr">
        <is>
          <t>LEKEBERG</t>
        </is>
      </c>
      <c r="G217" t="n">
        <v>3.4</v>
      </c>
      <c r="H217" t="n">
        <v>0</v>
      </c>
      <c r="I217" t="n">
        <v>0</v>
      </c>
      <c r="J217" t="n">
        <v>0</v>
      </c>
      <c r="K217" t="n">
        <v>0</v>
      </c>
      <c r="L217" t="n">
        <v>0</v>
      </c>
      <c r="M217" t="n">
        <v>0</v>
      </c>
      <c r="N217" t="n">
        <v>0</v>
      </c>
      <c r="O217" t="n">
        <v>0</v>
      </c>
      <c r="P217" t="n">
        <v>0</v>
      </c>
      <c r="Q217" t="n">
        <v>0</v>
      </c>
      <c r="R217" s="2" t="inlineStr"/>
    </row>
    <row r="218" ht="15" customHeight="1">
      <c r="A218" t="inlineStr">
        <is>
          <t>A 30802-2023</t>
        </is>
      </c>
      <c r="B218" s="1" t="n">
        <v>45112</v>
      </c>
      <c r="C218" s="1" t="n">
        <v>46033</v>
      </c>
      <c r="D218" t="inlineStr">
        <is>
          <t>ÖREBRO LÄN</t>
        </is>
      </c>
      <c r="E218" t="inlineStr">
        <is>
          <t>LEKEBERG</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37564-2024</t>
        </is>
      </c>
      <c r="B219" s="1" t="n">
        <v>45541.44607638889</v>
      </c>
      <c r="C219" s="1" t="n">
        <v>46033</v>
      </c>
      <c r="D219" t="inlineStr">
        <is>
          <t>ÖREBRO LÄN</t>
        </is>
      </c>
      <c r="E219" t="inlineStr">
        <is>
          <t>LEKEBERG</t>
        </is>
      </c>
      <c r="G219" t="n">
        <v>11.1</v>
      </c>
      <c r="H219" t="n">
        <v>0</v>
      </c>
      <c r="I219" t="n">
        <v>0</v>
      </c>
      <c r="J219" t="n">
        <v>0</v>
      </c>
      <c r="K219" t="n">
        <v>0</v>
      </c>
      <c r="L219" t="n">
        <v>0</v>
      </c>
      <c r="M219" t="n">
        <v>0</v>
      </c>
      <c r="N219" t="n">
        <v>0</v>
      </c>
      <c r="O219" t="n">
        <v>0</v>
      </c>
      <c r="P219" t="n">
        <v>0</v>
      </c>
      <c r="Q219" t="n">
        <v>0</v>
      </c>
      <c r="R219" s="2" t="inlineStr"/>
    </row>
    <row r="220" ht="15" customHeight="1">
      <c r="A220" t="inlineStr">
        <is>
          <t>A 39867-2024</t>
        </is>
      </c>
      <c r="B220" s="1" t="n">
        <v>45553.46100694445</v>
      </c>
      <c r="C220" s="1" t="n">
        <v>46033</v>
      </c>
      <c r="D220" t="inlineStr">
        <is>
          <t>ÖREBRO LÄN</t>
        </is>
      </c>
      <c r="E220" t="inlineStr">
        <is>
          <t>LEKEBERG</t>
        </is>
      </c>
      <c r="F220" t="inlineStr">
        <is>
          <t>Sveaskog</t>
        </is>
      </c>
      <c r="G220" t="n">
        <v>4.6</v>
      </c>
      <c r="H220" t="n">
        <v>0</v>
      </c>
      <c r="I220" t="n">
        <v>0</v>
      </c>
      <c r="J220" t="n">
        <v>0</v>
      </c>
      <c r="K220" t="n">
        <v>0</v>
      </c>
      <c r="L220" t="n">
        <v>0</v>
      </c>
      <c r="M220" t="n">
        <v>0</v>
      </c>
      <c r="N220" t="n">
        <v>0</v>
      </c>
      <c r="O220" t="n">
        <v>0</v>
      </c>
      <c r="P220" t="n">
        <v>0</v>
      </c>
      <c r="Q220" t="n">
        <v>0</v>
      </c>
      <c r="R220" s="2" t="inlineStr"/>
    </row>
    <row r="221">
      <c r="A221" t="inlineStr">
        <is>
          <t>A 30603-2021</t>
        </is>
      </c>
      <c r="B221" s="1" t="n">
        <v>44365.28403935185</v>
      </c>
      <c r="C221" s="1" t="n">
        <v>46033</v>
      </c>
      <c r="D221" t="inlineStr">
        <is>
          <t>ÖREBRO LÄN</t>
        </is>
      </c>
      <c r="E221" t="inlineStr">
        <is>
          <t>LEKEBERG</t>
        </is>
      </c>
      <c r="G221" t="n">
        <v>0.8</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2026-01-11T10:50:17Z</dcterms:created>
  <dcterms:modified xmlns:dcterms="http://purl.org/dc/terms/" xmlns:xsi="http://www.w3.org/2001/XMLSchema-instance" xsi:type="dcterms:W3CDTF">2026-01-11T10:50:17Z</dcterms:modified>
</cp:coreProperties>
</file>