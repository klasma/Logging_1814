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45963</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45963</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45963</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45963</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45963</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28821-2024</t>
        </is>
      </c>
      <c r="B9" s="1" t="n">
        <v>45478.65488425926</v>
      </c>
      <c r="C9" s="1" t="n">
        <v>45963</v>
      </c>
      <c r="D9" t="inlineStr">
        <is>
          <t>ÖREBRO LÄN</t>
        </is>
      </c>
      <c r="E9" t="inlineStr">
        <is>
          <t>LEKEBERG</t>
        </is>
      </c>
      <c r="F9" t="inlineStr">
        <is>
          <t>Sveaskog</t>
        </is>
      </c>
      <c r="G9" t="n">
        <v>4.7</v>
      </c>
      <c r="H9" t="n">
        <v>0</v>
      </c>
      <c r="I9" t="n">
        <v>1</v>
      </c>
      <c r="J9" t="n">
        <v>0</v>
      </c>
      <c r="K9" t="n">
        <v>0</v>
      </c>
      <c r="L9" t="n">
        <v>0</v>
      </c>
      <c r="M9" t="n">
        <v>0</v>
      </c>
      <c r="N9" t="n">
        <v>0</v>
      </c>
      <c r="O9" t="n">
        <v>0</v>
      </c>
      <c r="P9" t="n">
        <v>0</v>
      </c>
      <c r="Q9" t="n">
        <v>1</v>
      </c>
      <c r="R9" s="2" t="inlineStr">
        <is>
          <t>Blåmossa</t>
        </is>
      </c>
      <c r="S9">
        <f>HYPERLINK("https://klasma.github.io/Logging_1814/artfynd/A 28821-2024 artfynd.xlsx", "A 28821-2024")</f>
        <v/>
      </c>
      <c r="T9">
        <f>HYPERLINK("https://klasma.github.io/Logging_1814/kartor/A 28821-2024 karta.png", "A 28821-2024")</f>
        <v/>
      </c>
      <c r="V9">
        <f>HYPERLINK("https://klasma.github.io/Logging_1814/klagomål/A 28821-2024 FSC-klagomål.docx", "A 28821-2024")</f>
        <v/>
      </c>
      <c r="W9">
        <f>HYPERLINK("https://klasma.github.io/Logging_1814/klagomålsmail/A 28821-2024 FSC-klagomål mail.docx", "A 28821-2024")</f>
        <v/>
      </c>
      <c r="X9">
        <f>HYPERLINK("https://klasma.github.io/Logging_1814/tillsyn/A 28821-2024 tillsynsbegäran.docx", "A 28821-2024")</f>
        <v/>
      </c>
      <c r="Y9">
        <f>HYPERLINK("https://klasma.github.io/Logging_1814/tillsynsmail/A 28821-2024 tillsynsbegäran mail.docx", "A 28821-2024")</f>
        <v/>
      </c>
    </row>
    <row r="10" ht="15" customHeight="1">
      <c r="A10" t="inlineStr">
        <is>
          <t>A 9690-2024</t>
        </is>
      </c>
      <c r="B10" s="1" t="n">
        <v>45362</v>
      </c>
      <c r="C10" s="1" t="n">
        <v>45963</v>
      </c>
      <c r="D10" t="inlineStr">
        <is>
          <t>ÖREBRO LÄN</t>
        </is>
      </c>
      <c r="E10" t="inlineStr">
        <is>
          <t>LEKEBERG</t>
        </is>
      </c>
      <c r="G10" t="n">
        <v>1.8</v>
      </c>
      <c r="H10" t="n">
        <v>1</v>
      </c>
      <c r="I10" t="n">
        <v>0</v>
      </c>
      <c r="J10" t="n">
        <v>1</v>
      </c>
      <c r="K10" t="n">
        <v>0</v>
      </c>
      <c r="L10" t="n">
        <v>0</v>
      </c>
      <c r="M10" t="n">
        <v>0</v>
      </c>
      <c r="N10" t="n">
        <v>0</v>
      </c>
      <c r="O10" t="n">
        <v>1</v>
      </c>
      <c r="P10" t="n">
        <v>0</v>
      </c>
      <c r="Q10" t="n">
        <v>1</v>
      </c>
      <c r="R10" s="2" t="inlineStr">
        <is>
          <t>Spillkråka</t>
        </is>
      </c>
      <c r="S10">
        <f>HYPERLINK("https://klasma.github.io/Logging_1814/artfynd/A 9690-2024 artfynd.xlsx", "A 9690-2024")</f>
        <v/>
      </c>
      <c r="T10">
        <f>HYPERLINK("https://klasma.github.io/Logging_1814/kartor/A 9690-2024 karta.png", "A 9690-2024")</f>
        <v/>
      </c>
      <c r="V10">
        <f>HYPERLINK("https://klasma.github.io/Logging_1814/klagomål/A 9690-2024 FSC-klagomål.docx", "A 9690-2024")</f>
        <v/>
      </c>
      <c r="W10">
        <f>HYPERLINK("https://klasma.github.io/Logging_1814/klagomålsmail/A 9690-2024 FSC-klagomål mail.docx", "A 9690-2024")</f>
        <v/>
      </c>
      <c r="X10">
        <f>HYPERLINK("https://klasma.github.io/Logging_1814/tillsyn/A 9690-2024 tillsynsbegäran.docx", "A 9690-2024")</f>
        <v/>
      </c>
      <c r="Y10">
        <f>HYPERLINK("https://klasma.github.io/Logging_1814/tillsynsmail/A 9690-2024 tillsynsbegäran mail.docx", "A 9690-2024")</f>
        <v/>
      </c>
      <c r="Z10">
        <f>HYPERLINK("https://klasma.github.io/Logging_1814/fåglar/A 9690-2024 prioriterade fågelarter.docx", "A 9690-2024")</f>
        <v/>
      </c>
    </row>
    <row r="11" ht="15" customHeight="1">
      <c r="A11" t="inlineStr">
        <is>
          <t>A 28147-2022</t>
        </is>
      </c>
      <c r="B11" s="1" t="n">
        <v>44746</v>
      </c>
      <c r="C11" s="1" t="n">
        <v>45963</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10507-2025</t>
        </is>
      </c>
      <c r="B12" s="1" t="n">
        <v>45721.39129629629</v>
      </c>
      <c r="C12" s="1" t="n">
        <v>45963</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11637-2025</t>
        </is>
      </c>
      <c r="B13" s="1" t="n">
        <v>45727.46729166667</v>
      </c>
      <c r="C13" s="1" t="n">
        <v>45963</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22805-2025</t>
        </is>
      </c>
      <c r="B14" s="1" t="n">
        <v>45789</v>
      </c>
      <c r="C14" s="1" t="n">
        <v>45963</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45963</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19176-2025</t>
        </is>
      </c>
      <c r="B16" s="1" t="n">
        <v>45769</v>
      </c>
      <c r="C16" s="1" t="n">
        <v>45963</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290-2025</t>
        </is>
      </c>
      <c r="B17" s="1" t="n">
        <v>45656</v>
      </c>
      <c r="C17" s="1" t="n">
        <v>45963</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45963</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44857-2025</t>
        </is>
      </c>
      <c r="B19" s="1" t="n">
        <v>45918.45165509259</v>
      </c>
      <c r="C19" s="1" t="n">
        <v>45963</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45963</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45963</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45963</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45963</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45963</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45963</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45963</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45963</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45963</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45963</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45963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45963</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45963</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45963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45963</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45963</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45963</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45963</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62678-2020</t>
        </is>
      </c>
      <c r="B44" s="1" t="n">
        <v>44161</v>
      </c>
      <c r="C44" s="1" t="n">
        <v>45963</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45963</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45963</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45963</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45963</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45963</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45963</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45963</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45963</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45963</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45963</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6140-2025</t>
        </is>
      </c>
      <c r="B55" s="1" t="n">
        <v>45698.3849537037</v>
      </c>
      <c r="C55" s="1" t="n">
        <v>45963</v>
      </c>
      <c r="D55" t="inlineStr">
        <is>
          <t>ÖREBRO LÄN</t>
        </is>
      </c>
      <c r="E55" t="inlineStr">
        <is>
          <t>LEKEBERG</t>
        </is>
      </c>
      <c r="G55" t="n">
        <v>0.5</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45963</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45963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12140-2023</t>
        </is>
      </c>
      <c r="B58" s="1" t="n">
        <v>44998.46677083334</v>
      </c>
      <c r="C58" s="1" t="n">
        <v>45963</v>
      </c>
      <c r="D58" t="inlineStr">
        <is>
          <t>ÖREBRO LÄN</t>
        </is>
      </c>
      <c r="E58" t="inlineStr">
        <is>
          <t>LEKEBERG</t>
        </is>
      </c>
      <c r="G58" t="n">
        <v>2.1</v>
      </c>
      <c r="H58" t="n">
        <v>0</v>
      </c>
      <c r="I58" t="n">
        <v>0</v>
      </c>
      <c r="J58" t="n">
        <v>0</v>
      </c>
      <c r="K58" t="n">
        <v>0</v>
      </c>
      <c r="L58" t="n">
        <v>0</v>
      </c>
      <c r="M58" t="n">
        <v>0</v>
      </c>
      <c r="N58" t="n">
        <v>0</v>
      </c>
      <c r="O58" t="n">
        <v>0</v>
      </c>
      <c r="P58" t="n">
        <v>0</v>
      </c>
      <c r="Q58" t="n">
        <v>0</v>
      </c>
      <c r="R58" s="2" t="inlineStr"/>
    </row>
    <row r="59" ht="15" customHeight="1">
      <c r="A59" t="inlineStr">
        <is>
          <t>A 22323-2023</t>
        </is>
      </c>
      <c r="B59" s="1" t="n">
        <v>45068</v>
      </c>
      <c r="C59" s="1" t="n">
        <v>45963</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28824-2024</t>
        </is>
      </c>
      <c r="B60" s="1" t="n">
        <v>45478</v>
      </c>
      <c r="C60" s="1" t="n">
        <v>45963</v>
      </c>
      <c r="D60" t="inlineStr">
        <is>
          <t>ÖREBRO LÄN</t>
        </is>
      </c>
      <c r="E60" t="inlineStr">
        <is>
          <t>LEKEBERG</t>
        </is>
      </c>
      <c r="F60" t="inlineStr">
        <is>
          <t>Sveaskog</t>
        </is>
      </c>
      <c r="G60" t="n">
        <v>0.9</v>
      </c>
      <c r="H60" t="n">
        <v>0</v>
      </c>
      <c r="I60" t="n">
        <v>0</v>
      </c>
      <c r="J60" t="n">
        <v>0</v>
      </c>
      <c r="K60" t="n">
        <v>0</v>
      </c>
      <c r="L60" t="n">
        <v>0</v>
      </c>
      <c r="M60" t="n">
        <v>0</v>
      </c>
      <c r="N60" t="n">
        <v>0</v>
      </c>
      <c r="O60" t="n">
        <v>0</v>
      </c>
      <c r="P60" t="n">
        <v>0</v>
      </c>
      <c r="Q60" t="n">
        <v>0</v>
      </c>
      <c r="R60" s="2" t="inlineStr"/>
    </row>
    <row r="61" ht="15" customHeight="1">
      <c r="A61" t="inlineStr">
        <is>
          <t>A 41350-2023</t>
        </is>
      </c>
      <c r="B61" s="1" t="n">
        <v>45174</v>
      </c>
      <c r="C61" s="1" t="n">
        <v>45963</v>
      </c>
      <c r="D61" t="inlineStr">
        <is>
          <t>ÖREBRO LÄN</t>
        </is>
      </c>
      <c r="E61" t="inlineStr">
        <is>
          <t>LEKEBERG</t>
        </is>
      </c>
      <c r="F61" t="inlineStr">
        <is>
          <t>Allmännings- och besparingsskogar</t>
        </is>
      </c>
      <c r="G61" t="n">
        <v>8.800000000000001</v>
      </c>
      <c r="H61" t="n">
        <v>0</v>
      </c>
      <c r="I61" t="n">
        <v>0</v>
      </c>
      <c r="J61" t="n">
        <v>0</v>
      </c>
      <c r="K61" t="n">
        <v>0</v>
      </c>
      <c r="L61" t="n">
        <v>0</v>
      </c>
      <c r="M61" t="n">
        <v>0</v>
      </c>
      <c r="N61" t="n">
        <v>0</v>
      </c>
      <c r="O61" t="n">
        <v>0</v>
      </c>
      <c r="P61" t="n">
        <v>0</v>
      </c>
      <c r="Q61" t="n">
        <v>0</v>
      </c>
      <c r="R61" s="2" t="inlineStr"/>
    </row>
    <row r="62" ht="15" customHeight="1">
      <c r="A62" t="inlineStr">
        <is>
          <t>A 45105-2022</t>
        </is>
      </c>
      <c r="B62" s="1" t="n">
        <v>44843</v>
      </c>
      <c r="C62" s="1" t="n">
        <v>45963</v>
      </c>
      <c r="D62" t="inlineStr">
        <is>
          <t>ÖREBRO LÄN</t>
        </is>
      </c>
      <c r="E62" t="inlineStr">
        <is>
          <t>LEKEBERG</t>
        </is>
      </c>
      <c r="G62" t="n">
        <v>2.6</v>
      </c>
      <c r="H62" t="n">
        <v>0</v>
      </c>
      <c r="I62" t="n">
        <v>0</v>
      </c>
      <c r="J62" t="n">
        <v>0</v>
      </c>
      <c r="K62" t="n">
        <v>0</v>
      </c>
      <c r="L62" t="n">
        <v>0</v>
      </c>
      <c r="M62" t="n">
        <v>0</v>
      </c>
      <c r="N62" t="n">
        <v>0</v>
      </c>
      <c r="O62" t="n">
        <v>0</v>
      </c>
      <c r="P62" t="n">
        <v>0</v>
      </c>
      <c r="Q62" t="n">
        <v>0</v>
      </c>
      <c r="R62" s="2" t="inlineStr"/>
    </row>
    <row r="63" ht="15" customHeight="1">
      <c r="A63" t="inlineStr">
        <is>
          <t>A 46877-2022</t>
        </is>
      </c>
      <c r="B63" s="1" t="n">
        <v>44848</v>
      </c>
      <c r="C63" s="1" t="n">
        <v>45963</v>
      </c>
      <c r="D63" t="inlineStr">
        <is>
          <t>ÖREBRO LÄN</t>
        </is>
      </c>
      <c r="E63" t="inlineStr">
        <is>
          <t>LEKEBERG</t>
        </is>
      </c>
      <c r="G63" t="n">
        <v>1.2</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45963</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54959-2023</t>
        </is>
      </c>
      <c r="B65" s="1" t="n">
        <v>45236</v>
      </c>
      <c r="C65" s="1" t="n">
        <v>45963</v>
      </c>
      <c r="D65" t="inlineStr">
        <is>
          <t>ÖREBRO LÄN</t>
        </is>
      </c>
      <c r="E65" t="inlineStr">
        <is>
          <t>LEKEBERG</t>
        </is>
      </c>
      <c r="G65" t="n">
        <v>2</v>
      </c>
      <c r="H65" t="n">
        <v>0</v>
      </c>
      <c r="I65" t="n">
        <v>0</v>
      </c>
      <c r="J65" t="n">
        <v>0</v>
      </c>
      <c r="K65" t="n">
        <v>0</v>
      </c>
      <c r="L65" t="n">
        <v>0</v>
      </c>
      <c r="M65" t="n">
        <v>0</v>
      </c>
      <c r="N65" t="n">
        <v>0</v>
      </c>
      <c r="O65" t="n">
        <v>0</v>
      </c>
      <c r="P65" t="n">
        <v>0</v>
      </c>
      <c r="Q65" t="n">
        <v>0</v>
      </c>
      <c r="R65" s="2" t="inlineStr"/>
    </row>
    <row r="66" ht="15" customHeight="1">
      <c r="A66" t="inlineStr">
        <is>
          <t>A 50405-2024</t>
        </is>
      </c>
      <c r="B66" s="1" t="n">
        <v>45601.35753472222</v>
      </c>
      <c r="C66" s="1" t="n">
        <v>45963</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13757-2025</t>
        </is>
      </c>
      <c r="B67" s="1" t="n">
        <v>45737.41730324074</v>
      </c>
      <c r="C67" s="1" t="n">
        <v>45963</v>
      </c>
      <c r="D67" t="inlineStr">
        <is>
          <t>ÖREBRO LÄN</t>
        </is>
      </c>
      <c r="E67" t="inlineStr">
        <is>
          <t>LEKEBERG</t>
        </is>
      </c>
      <c r="F67" t="inlineStr">
        <is>
          <t>Sveaskog</t>
        </is>
      </c>
      <c r="G67" t="n">
        <v>12.8</v>
      </c>
      <c r="H67" t="n">
        <v>0</v>
      </c>
      <c r="I67" t="n">
        <v>0</v>
      </c>
      <c r="J67" t="n">
        <v>0</v>
      </c>
      <c r="K67" t="n">
        <v>0</v>
      </c>
      <c r="L67" t="n">
        <v>0</v>
      </c>
      <c r="M67" t="n">
        <v>0</v>
      </c>
      <c r="N67" t="n">
        <v>0</v>
      </c>
      <c r="O67" t="n">
        <v>0</v>
      </c>
      <c r="P67" t="n">
        <v>0</v>
      </c>
      <c r="Q67" t="n">
        <v>0</v>
      </c>
      <c r="R67" s="2" t="inlineStr"/>
    </row>
    <row r="68" ht="15" customHeight="1">
      <c r="A68" t="inlineStr">
        <is>
          <t>A 11676-2024</t>
        </is>
      </c>
      <c r="B68" s="1" t="n">
        <v>45373.57236111111</v>
      </c>
      <c r="C68" s="1" t="n">
        <v>45963</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56267-2021</t>
        </is>
      </c>
      <c r="B69" s="1" t="n">
        <v>44479.61296296296</v>
      </c>
      <c r="C69" s="1" t="n">
        <v>45963</v>
      </c>
      <c r="D69" t="inlineStr">
        <is>
          <t>ÖREBRO LÄN</t>
        </is>
      </c>
      <c r="E69" t="inlineStr">
        <is>
          <t>LEKEBERG</t>
        </is>
      </c>
      <c r="G69" t="n">
        <v>2.4</v>
      </c>
      <c r="H69" t="n">
        <v>0</v>
      </c>
      <c r="I69" t="n">
        <v>0</v>
      </c>
      <c r="J69" t="n">
        <v>0</v>
      </c>
      <c r="K69" t="n">
        <v>0</v>
      </c>
      <c r="L69" t="n">
        <v>0</v>
      </c>
      <c r="M69" t="n">
        <v>0</v>
      </c>
      <c r="N69" t="n">
        <v>0</v>
      </c>
      <c r="O69" t="n">
        <v>0</v>
      </c>
      <c r="P69" t="n">
        <v>0</v>
      </c>
      <c r="Q69" t="n">
        <v>0</v>
      </c>
      <c r="R69" s="2" t="inlineStr"/>
    </row>
    <row r="70" ht="15" customHeight="1">
      <c r="A70" t="inlineStr">
        <is>
          <t>A 1607-2023</t>
        </is>
      </c>
      <c r="B70" s="1" t="n">
        <v>44937</v>
      </c>
      <c r="C70" s="1" t="n">
        <v>45963</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37491-2021</t>
        </is>
      </c>
      <c r="B71" s="1" t="n">
        <v>44399.29892361111</v>
      </c>
      <c r="C71" s="1" t="n">
        <v>45963</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4470-2022</t>
        </is>
      </c>
      <c r="B72" s="1" t="n">
        <v>44589</v>
      </c>
      <c r="C72" s="1" t="n">
        <v>45963</v>
      </c>
      <c r="D72" t="inlineStr">
        <is>
          <t>ÖREBRO LÄN</t>
        </is>
      </c>
      <c r="E72" t="inlineStr">
        <is>
          <t>LEKEBERG</t>
        </is>
      </c>
      <c r="G72" t="n">
        <v>1.7</v>
      </c>
      <c r="H72" t="n">
        <v>0</v>
      </c>
      <c r="I72" t="n">
        <v>0</v>
      </c>
      <c r="J72" t="n">
        <v>0</v>
      </c>
      <c r="K72" t="n">
        <v>0</v>
      </c>
      <c r="L72" t="n">
        <v>0</v>
      </c>
      <c r="M72" t="n">
        <v>0</v>
      </c>
      <c r="N72" t="n">
        <v>0</v>
      </c>
      <c r="O72" t="n">
        <v>0</v>
      </c>
      <c r="P72" t="n">
        <v>0</v>
      </c>
      <c r="Q72" t="n">
        <v>0</v>
      </c>
      <c r="R72" s="2" t="inlineStr"/>
    </row>
    <row r="73" ht="15" customHeight="1">
      <c r="A73" t="inlineStr">
        <is>
          <t>A 28579-2022</t>
        </is>
      </c>
      <c r="B73" s="1" t="n">
        <v>44748</v>
      </c>
      <c r="C73" s="1" t="n">
        <v>45963</v>
      </c>
      <c r="D73" t="inlineStr">
        <is>
          <t>ÖREBRO LÄN</t>
        </is>
      </c>
      <c r="E73" t="inlineStr">
        <is>
          <t>LEKEBERG</t>
        </is>
      </c>
      <c r="G73" t="n">
        <v>3.4</v>
      </c>
      <c r="H73" t="n">
        <v>0</v>
      </c>
      <c r="I73" t="n">
        <v>0</v>
      </c>
      <c r="J73" t="n">
        <v>0</v>
      </c>
      <c r="K73" t="n">
        <v>0</v>
      </c>
      <c r="L73" t="n">
        <v>0</v>
      </c>
      <c r="M73" t="n">
        <v>0</v>
      </c>
      <c r="N73" t="n">
        <v>0</v>
      </c>
      <c r="O73" t="n">
        <v>0</v>
      </c>
      <c r="P73" t="n">
        <v>0</v>
      </c>
      <c r="Q73" t="n">
        <v>0</v>
      </c>
      <c r="R73" s="2" t="inlineStr"/>
    </row>
    <row r="74" ht="15" customHeight="1">
      <c r="A74" t="inlineStr">
        <is>
          <t>A 10787-2023</t>
        </is>
      </c>
      <c r="B74" s="1" t="n">
        <v>44989</v>
      </c>
      <c r="C74" s="1" t="n">
        <v>45963</v>
      </c>
      <c r="D74" t="inlineStr">
        <is>
          <t>ÖREBRO LÄN</t>
        </is>
      </c>
      <c r="E74" t="inlineStr">
        <is>
          <t>LEKEBERG</t>
        </is>
      </c>
      <c r="G74" t="n">
        <v>5</v>
      </c>
      <c r="H74" t="n">
        <v>0</v>
      </c>
      <c r="I74" t="n">
        <v>0</v>
      </c>
      <c r="J74" t="n">
        <v>0</v>
      </c>
      <c r="K74" t="n">
        <v>0</v>
      </c>
      <c r="L74" t="n">
        <v>0</v>
      </c>
      <c r="M74" t="n">
        <v>0</v>
      </c>
      <c r="N74" t="n">
        <v>0</v>
      </c>
      <c r="O74" t="n">
        <v>0</v>
      </c>
      <c r="P74" t="n">
        <v>0</v>
      </c>
      <c r="Q74" t="n">
        <v>0</v>
      </c>
      <c r="R74" s="2" t="inlineStr"/>
    </row>
    <row r="75" ht="15" customHeight="1">
      <c r="A75" t="inlineStr">
        <is>
          <t>A 10791-2023</t>
        </is>
      </c>
      <c r="B75" s="1" t="n">
        <v>44989</v>
      </c>
      <c r="C75" s="1" t="n">
        <v>45963</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10467-2025</t>
        </is>
      </c>
      <c r="B76" s="1" t="n">
        <v>45720.83359953704</v>
      </c>
      <c r="C76" s="1" t="n">
        <v>45963</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30802-2023</t>
        </is>
      </c>
      <c r="B77" s="1" t="n">
        <v>45112</v>
      </c>
      <c r="C77" s="1" t="n">
        <v>45963</v>
      </c>
      <c r="D77" t="inlineStr">
        <is>
          <t>ÖREBRO LÄN</t>
        </is>
      </c>
      <c r="E77" t="inlineStr">
        <is>
          <t>LEKEBERG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8050-2022</t>
        </is>
      </c>
      <c r="B78" s="1" t="n">
        <v>44609.46233796296</v>
      </c>
      <c r="C78" s="1" t="n">
        <v>45963</v>
      </c>
      <c r="D78" t="inlineStr">
        <is>
          <t>ÖREBRO LÄN</t>
        </is>
      </c>
      <c r="E78" t="inlineStr">
        <is>
          <t>LEKEBERG</t>
        </is>
      </c>
      <c r="G78" t="n">
        <v>3.3</v>
      </c>
      <c r="H78" t="n">
        <v>0</v>
      </c>
      <c r="I78" t="n">
        <v>0</v>
      </c>
      <c r="J78" t="n">
        <v>0</v>
      </c>
      <c r="K78" t="n">
        <v>0</v>
      </c>
      <c r="L78" t="n">
        <v>0</v>
      </c>
      <c r="M78" t="n">
        <v>0</v>
      </c>
      <c r="N78" t="n">
        <v>0</v>
      </c>
      <c r="O78" t="n">
        <v>0</v>
      </c>
      <c r="P78" t="n">
        <v>0</v>
      </c>
      <c r="Q78" t="n">
        <v>0</v>
      </c>
      <c r="R78" s="2" t="inlineStr"/>
    </row>
    <row r="79" ht="15" customHeight="1">
      <c r="A79" t="inlineStr">
        <is>
          <t>A 3602-2023</t>
        </is>
      </c>
      <c r="B79" s="1" t="n">
        <v>44950.58821759259</v>
      </c>
      <c r="C79" s="1" t="n">
        <v>45963</v>
      </c>
      <c r="D79" t="inlineStr">
        <is>
          <t>ÖREBRO LÄN</t>
        </is>
      </c>
      <c r="E79" t="inlineStr">
        <is>
          <t>LEKEBERG</t>
        </is>
      </c>
      <c r="G79" t="n">
        <v>2.6</v>
      </c>
      <c r="H79" t="n">
        <v>0</v>
      </c>
      <c r="I79" t="n">
        <v>0</v>
      </c>
      <c r="J79" t="n">
        <v>0</v>
      </c>
      <c r="K79" t="n">
        <v>0</v>
      </c>
      <c r="L79" t="n">
        <v>0</v>
      </c>
      <c r="M79" t="n">
        <v>0</v>
      </c>
      <c r="N79" t="n">
        <v>0</v>
      </c>
      <c r="O79" t="n">
        <v>0</v>
      </c>
      <c r="P79" t="n">
        <v>0</v>
      </c>
      <c r="Q79" t="n">
        <v>0</v>
      </c>
      <c r="R79" s="2" t="inlineStr"/>
    </row>
    <row r="80" ht="15" customHeight="1">
      <c r="A80" t="inlineStr">
        <is>
          <t>A 37564-2024</t>
        </is>
      </c>
      <c r="B80" s="1" t="n">
        <v>45541.44607638889</v>
      </c>
      <c r="C80" s="1" t="n">
        <v>45963</v>
      </c>
      <c r="D80" t="inlineStr">
        <is>
          <t>ÖREBRO LÄN</t>
        </is>
      </c>
      <c r="E80" t="inlineStr">
        <is>
          <t>LEKEBERG</t>
        </is>
      </c>
      <c r="G80" t="n">
        <v>11.1</v>
      </c>
      <c r="H80" t="n">
        <v>0</v>
      </c>
      <c r="I80" t="n">
        <v>0</v>
      </c>
      <c r="J80" t="n">
        <v>0</v>
      </c>
      <c r="K80" t="n">
        <v>0</v>
      </c>
      <c r="L80" t="n">
        <v>0</v>
      </c>
      <c r="M80" t="n">
        <v>0</v>
      </c>
      <c r="N80" t="n">
        <v>0</v>
      </c>
      <c r="O80" t="n">
        <v>0</v>
      </c>
      <c r="P80" t="n">
        <v>0</v>
      </c>
      <c r="Q80" t="n">
        <v>0</v>
      </c>
      <c r="R80" s="2" t="inlineStr"/>
    </row>
    <row r="81" ht="15" customHeight="1">
      <c r="A81" t="inlineStr">
        <is>
          <t>A 26763-2023</t>
        </is>
      </c>
      <c r="B81" s="1" t="n">
        <v>45093.46813657408</v>
      </c>
      <c r="C81" s="1" t="n">
        <v>45963</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34885-2022</t>
        </is>
      </c>
      <c r="B82" s="1" t="n">
        <v>44796.51725694445</v>
      </c>
      <c r="C82" s="1" t="n">
        <v>45963</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39867-2024</t>
        </is>
      </c>
      <c r="B83" s="1" t="n">
        <v>45553.46100694445</v>
      </c>
      <c r="C83" s="1" t="n">
        <v>45963</v>
      </c>
      <c r="D83" t="inlineStr">
        <is>
          <t>ÖREBRO LÄN</t>
        </is>
      </c>
      <c r="E83" t="inlineStr">
        <is>
          <t>LEKEBERG</t>
        </is>
      </c>
      <c r="F83" t="inlineStr">
        <is>
          <t>Sveaskog</t>
        </is>
      </c>
      <c r="G83" t="n">
        <v>4.6</v>
      </c>
      <c r="H83" t="n">
        <v>0</v>
      </c>
      <c r="I83" t="n">
        <v>0</v>
      </c>
      <c r="J83" t="n">
        <v>0</v>
      </c>
      <c r="K83" t="n">
        <v>0</v>
      </c>
      <c r="L83" t="n">
        <v>0</v>
      </c>
      <c r="M83" t="n">
        <v>0</v>
      </c>
      <c r="N83" t="n">
        <v>0</v>
      </c>
      <c r="O83" t="n">
        <v>0</v>
      </c>
      <c r="P83" t="n">
        <v>0</v>
      </c>
      <c r="Q83" t="n">
        <v>0</v>
      </c>
      <c r="R83" s="2" t="inlineStr"/>
    </row>
    <row r="84" ht="15" customHeight="1">
      <c r="A84" t="inlineStr">
        <is>
          <t>A 12963-2023</t>
        </is>
      </c>
      <c r="B84" s="1" t="n">
        <v>45001</v>
      </c>
      <c r="C84" s="1" t="n">
        <v>45963</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30603-2021</t>
        </is>
      </c>
      <c r="B85" s="1" t="n">
        <v>44365.28403935185</v>
      </c>
      <c r="C85" s="1" t="n">
        <v>45963</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14734-2024</t>
        </is>
      </c>
      <c r="B86" s="1" t="n">
        <v>45397.5890625</v>
      </c>
      <c r="C86" s="1" t="n">
        <v>45963</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45963</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45963</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45963</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45963</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12961-2023</t>
        </is>
      </c>
      <c r="B91" s="1" t="n">
        <v>45001.80307870371</v>
      </c>
      <c r="C91" s="1" t="n">
        <v>45963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18382-2023</t>
        </is>
      </c>
      <c r="B92" s="1" t="n">
        <v>45042.27751157407</v>
      </c>
      <c r="C92" s="1" t="n">
        <v>45963</v>
      </c>
      <c r="D92" t="inlineStr">
        <is>
          <t>ÖREBRO LÄN</t>
        </is>
      </c>
      <c r="E92" t="inlineStr">
        <is>
          <t>LEKEBERG</t>
        </is>
      </c>
      <c r="G92" t="n">
        <v>2.5</v>
      </c>
      <c r="H92" t="n">
        <v>0</v>
      </c>
      <c r="I92" t="n">
        <v>0</v>
      </c>
      <c r="J92" t="n">
        <v>0</v>
      </c>
      <c r="K92" t="n">
        <v>0</v>
      </c>
      <c r="L92" t="n">
        <v>0</v>
      </c>
      <c r="M92" t="n">
        <v>0</v>
      </c>
      <c r="N92" t="n">
        <v>0</v>
      </c>
      <c r="O92" t="n">
        <v>0</v>
      </c>
      <c r="P92" t="n">
        <v>0</v>
      </c>
      <c r="Q92" t="n">
        <v>0</v>
      </c>
      <c r="R92" s="2" t="inlineStr"/>
    </row>
    <row r="93" ht="15" customHeight="1">
      <c r="A93" t="inlineStr">
        <is>
          <t>A 22580-2024</t>
        </is>
      </c>
      <c r="B93" s="1" t="n">
        <v>45447.5825462963</v>
      </c>
      <c r="C93" s="1" t="n">
        <v>45963</v>
      </c>
      <c r="D93" t="inlineStr">
        <is>
          <t>ÖREBRO LÄN</t>
        </is>
      </c>
      <c r="E93" t="inlineStr">
        <is>
          <t>LEKEBERG</t>
        </is>
      </c>
      <c r="G93" t="n">
        <v>7.3</v>
      </c>
      <c r="H93" t="n">
        <v>0</v>
      </c>
      <c r="I93" t="n">
        <v>0</v>
      </c>
      <c r="J93" t="n">
        <v>0</v>
      </c>
      <c r="K93" t="n">
        <v>0</v>
      </c>
      <c r="L93" t="n">
        <v>0</v>
      </c>
      <c r="M93" t="n">
        <v>0</v>
      </c>
      <c r="N93" t="n">
        <v>0</v>
      </c>
      <c r="O93" t="n">
        <v>0</v>
      </c>
      <c r="P93" t="n">
        <v>0</v>
      </c>
      <c r="Q93" t="n">
        <v>0</v>
      </c>
      <c r="R93" s="2" t="inlineStr"/>
    </row>
    <row r="94" ht="15" customHeight="1">
      <c r="A94" t="inlineStr">
        <is>
          <t>A 30754-2022</t>
        </is>
      </c>
      <c r="B94" s="1" t="n">
        <v>44764</v>
      </c>
      <c r="C94" s="1" t="n">
        <v>45963</v>
      </c>
      <c r="D94" t="inlineStr">
        <is>
          <t>ÖREBRO LÄN</t>
        </is>
      </c>
      <c r="E94" t="inlineStr">
        <is>
          <t>LEKEBERG</t>
        </is>
      </c>
      <c r="G94" t="n">
        <v>9.300000000000001</v>
      </c>
      <c r="H94" t="n">
        <v>0</v>
      </c>
      <c r="I94" t="n">
        <v>0</v>
      </c>
      <c r="J94" t="n">
        <v>0</v>
      </c>
      <c r="K94" t="n">
        <v>0</v>
      </c>
      <c r="L94" t="n">
        <v>0</v>
      </c>
      <c r="M94" t="n">
        <v>0</v>
      </c>
      <c r="N94" t="n">
        <v>0</v>
      </c>
      <c r="O94" t="n">
        <v>0</v>
      </c>
      <c r="P94" t="n">
        <v>0</v>
      </c>
      <c r="Q94" t="n">
        <v>0</v>
      </c>
      <c r="R94" s="2" t="inlineStr"/>
    </row>
    <row r="95" ht="15" customHeight="1">
      <c r="A95" t="inlineStr">
        <is>
          <t>A 61733-2024</t>
        </is>
      </c>
      <c r="B95" s="1" t="n">
        <v>45649.34486111111</v>
      </c>
      <c r="C95" s="1" t="n">
        <v>45963</v>
      </c>
      <c r="D95" t="inlineStr">
        <is>
          <t>ÖREBRO LÄN</t>
        </is>
      </c>
      <c r="E95" t="inlineStr">
        <is>
          <t>LEKEBERG</t>
        </is>
      </c>
      <c r="G95" t="n">
        <v>1.3</v>
      </c>
      <c r="H95" t="n">
        <v>0</v>
      </c>
      <c r="I95" t="n">
        <v>0</v>
      </c>
      <c r="J95" t="n">
        <v>0</v>
      </c>
      <c r="K95" t="n">
        <v>0</v>
      </c>
      <c r="L95" t="n">
        <v>0</v>
      </c>
      <c r="M95" t="n">
        <v>0</v>
      </c>
      <c r="N95" t="n">
        <v>0</v>
      </c>
      <c r="O95" t="n">
        <v>0</v>
      </c>
      <c r="P95" t="n">
        <v>0</v>
      </c>
      <c r="Q95" t="n">
        <v>0</v>
      </c>
      <c r="R95" s="2" t="inlineStr"/>
    </row>
    <row r="96" ht="15" customHeight="1">
      <c r="A96" t="inlineStr">
        <is>
          <t>A 2175-2024</t>
        </is>
      </c>
      <c r="B96" s="1" t="n">
        <v>45309</v>
      </c>
      <c r="C96" s="1" t="n">
        <v>45963</v>
      </c>
      <c r="D96" t="inlineStr">
        <is>
          <t>ÖREBRO LÄN</t>
        </is>
      </c>
      <c r="E96" t="inlineStr">
        <is>
          <t>LEKEBERG</t>
        </is>
      </c>
      <c r="G96" t="n">
        <v>3.8</v>
      </c>
      <c r="H96" t="n">
        <v>0</v>
      </c>
      <c r="I96" t="n">
        <v>0</v>
      </c>
      <c r="J96" t="n">
        <v>0</v>
      </c>
      <c r="K96" t="n">
        <v>0</v>
      </c>
      <c r="L96" t="n">
        <v>0</v>
      </c>
      <c r="M96" t="n">
        <v>0</v>
      </c>
      <c r="N96" t="n">
        <v>0</v>
      </c>
      <c r="O96" t="n">
        <v>0</v>
      </c>
      <c r="P96" t="n">
        <v>0</v>
      </c>
      <c r="Q96" t="n">
        <v>0</v>
      </c>
      <c r="R96" s="2" t="inlineStr"/>
    </row>
    <row r="97" ht="15" customHeight="1">
      <c r="A97" t="inlineStr">
        <is>
          <t>A 14353-2024</t>
        </is>
      </c>
      <c r="B97" s="1" t="n">
        <v>45393.83645833333</v>
      </c>
      <c r="C97" s="1" t="n">
        <v>45963</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1515-2024</t>
        </is>
      </c>
      <c r="B98" s="1" t="n">
        <v>45305</v>
      </c>
      <c r="C98" s="1" t="n">
        <v>45963</v>
      </c>
      <c r="D98" t="inlineStr">
        <is>
          <t>ÖREBRO LÄN</t>
        </is>
      </c>
      <c r="E98" t="inlineStr">
        <is>
          <t>LEKEBERG</t>
        </is>
      </c>
      <c r="G98" t="n">
        <v>3.7</v>
      </c>
      <c r="H98" t="n">
        <v>0</v>
      </c>
      <c r="I98" t="n">
        <v>0</v>
      </c>
      <c r="J98" t="n">
        <v>0</v>
      </c>
      <c r="K98" t="n">
        <v>0</v>
      </c>
      <c r="L98" t="n">
        <v>0</v>
      </c>
      <c r="M98" t="n">
        <v>0</v>
      </c>
      <c r="N98" t="n">
        <v>0</v>
      </c>
      <c r="O98" t="n">
        <v>0</v>
      </c>
      <c r="P98" t="n">
        <v>0</v>
      </c>
      <c r="Q98" t="n">
        <v>0</v>
      </c>
      <c r="R98" s="2" t="inlineStr"/>
    </row>
    <row r="99" ht="15" customHeight="1">
      <c r="A99" t="inlineStr">
        <is>
          <t>A 33963-2023</t>
        </is>
      </c>
      <c r="B99" s="1" t="n">
        <v>45134.62525462963</v>
      </c>
      <c r="C99" s="1" t="n">
        <v>45963</v>
      </c>
      <c r="D99" t="inlineStr">
        <is>
          <t>ÖREBRO LÄN</t>
        </is>
      </c>
      <c r="E99" t="inlineStr">
        <is>
          <t>LEKEBERG</t>
        </is>
      </c>
      <c r="G99" t="n">
        <v>2.8</v>
      </c>
      <c r="H99" t="n">
        <v>0</v>
      </c>
      <c r="I99" t="n">
        <v>0</v>
      </c>
      <c r="J99" t="n">
        <v>0</v>
      </c>
      <c r="K99" t="n">
        <v>0</v>
      </c>
      <c r="L99" t="n">
        <v>0</v>
      </c>
      <c r="M99" t="n">
        <v>0</v>
      </c>
      <c r="N99" t="n">
        <v>0</v>
      </c>
      <c r="O99" t="n">
        <v>0</v>
      </c>
      <c r="P99" t="n">
        <v>0</v>
      </c>
      <c r="Q99" t="n">
        <v>0</v>
      </c>
      <c r="R99" s="2" t="inlineStr"/>
    </row>
    <row r="100" ht="15" customHeight="1">
      <c r="A100" t="inlineStr">
        <is>
          <t>A 46398-2021</t>
        </is>
      </c>
      <c r="B100" s="1" t="n">
        <v>44443.77010416667</v>
      </c>
      <c r="C100" s="1" t="n">
        <v>45963</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38922-2023</t>
        </is>
      </c>
      <c r="B101" s="1" t="n">
        <v>45163.57961805556</v>
      </c>
      <c r="C101" s="1" t="n">
        <v>45963</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45963</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45963</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37598-2024</t>
        </is>
      </c>
      <c r="B104" s="1" t="n">
        <v>45541.47604166667</v>
      </c>
      <c r="C104" s="1" t="n">
        <v>45963</v>
      </c>
      <c r="D104" t="inlineStr">
        <is>
          <t>ÖREBRO LÄN</t>
        </is>
      </c>
      <c r="E104" t="inlineStr">
        <is>
          <t>LEKEBERG</t>
        </is>
      </c>
      <c r="G104" t="n">
        <v>1.7</v>
      </c>
      <c r="H104" t="n">
        <v>0</v>
      </c>
      <c r="I104" t="n">
        <v>0</v>
      </c>
      <c r="J104" t="n">
        <v>0</v>
      </c>
      <c r="K104" t="n">
        <v>0</v>
      </c>
      <c r="L104" t="n">
        <v>0</v>
      </c>
      <c r="M104" t="n">
        <v>0</v>
      </c>
      <c r="N104" t="n">
        <v>0</v>
      </c>
      <c r="O104" t="n">
        <v>0</v>
      </c>
      <c r="P104" t="n">
        <v>0</v>
      </c>
      <c r="Q104" t="n">
        <v>0</v>
      </c>
      <c r="R104" s="2" t="inlineStr"/>
    </row>
    <row r="105" ht="15" customHeight="1">
      <c r="A105" t="inlineStr">
        <is>
          <t>A 5373-2024</t>
        </is>
      </c>
      <c r="B105" s="1" t="n">
        <v>45331</v>
      </c>
      <c r="C105" s="1" t="n">
        <v>45963</v>
      </c>
      <c r="D105" t="inlineStr">
        <is>
          <t>ÖREBRO LÄN</t>
        </is>
      </c>
      <c r="E105" t="inlineStr">
        <is>
          <t>LEKEBERG</t>
        </is>
      </c>
      <c r="G105" t="n">
        <v>5.8</v>
      </c>
      <c r="H105" t="n">
        <v>0</v>
      </c>
      <c r="I105" t="n">
        <v>0</v>
      </c>
      <c r="J105" t="n">
        <v>0</v>
      </c>
      <c r="K105" t="n">
        <v>0</v>
      </c>
      <c r="L105" t="n">
        <v>0</v>
      </c>
      <c r="M105" t="n">
        <v>0</v>
      </c>
      <c r="N105" t="n">
        <v>0</v>
      </c>
      <c r="O105" t="n">
        <v>0</v>
      </c>
      <c r="P105" t="n">
        <v>0</v>
      </c>
      <c r="Q105" t="n">
        <v>0</v>
      </c>
      <c r="R105" s="2" t="inlineStr"/>
    </row>
    <row r="106" ht="15" customHeight="1">
      <c r="A106" t="inlineStr">
        <is>
          <t>A 61470-2024</t>
        </is>
      </c>
      <c r="B106" s="1" t="n">
        <v>45646</v>
      </c>
      <c r="C106" s="1" t="n">
        <v>45963</v>
      </c>
      <c r="D106" t="inlineStr">
        <is>
          <t>ÖREBRO LÄN</t>
        </is>
      </c>
      <c r="E106" t="inlineStr">
        <is>
          <t>LEKEBERG</t>
        </is>
      </c>
      <c r="G106" t="n">
        <v>5</v>
      </c>
      <c r="H106" t="n">
        <v>0</v>
      </c>
      <c r="I106" t="n">
        <v>0</v>
      </c>
      <c r="J106" t="n">
        <v>0</v>
      </c>
      <c r="K106" t="n">
        <v>0</v>
      </c>
      <c r="L106" t="n">
        <v>0</v>
      </c>
      <c r="M106" t="n">
        <v>0</v>
      </c>
      <c r="N106" t="n">
        <v>0</v>
      </c>
      <c r="O106" t="n">
        <v>0</v>
      </c>
      <c r="P106" t="n">
        <v>0</v>
      </c>
      <c r="Q106" t="n">
        <v>0</v>
      </c>
      <c r="R106" s="2" t="inlineStr"/>
    </row>
    <row r="107" ht="15" customHeight="1">
      <c r="A107" t="inlineStr">
        <is>
          <t>A 1574-2025</t>
        </is>
      </c>
      <c r="B107" s="1" t="n">
        <v>45670.55908564815</v>
      </c>
      <c r="C107" s="1" t="n">
        <v>45963</v>
      </c>
      <c r="D107" t="inlineStr">
        <is>
          <t>ÖREBRO LÄN</t>
        </is>
      </c>
      <c r="E107" t="inlineStr">
        <is>
          <t>LEKEBERG</t>
        </is>
      </c>
      <c r="F107" t="inlineStr">
        <is>
          <t>Allmännings- och besparingsskogar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12596-2025</t>
        </is>
      </c>
      <c r="B108" s="1" t="n">
        <v>45733.28476851852</v>
      </c>
      <c r="C108" s="1" t="n">
        <v>45963</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62160-2024</t>
        </is>
      </c>
      <c r="B109" s="1" t="n">
        <v>45656.80090277778</v>
      </c>
      <c r="C109" s="1" t="n">
        <v>45963</v>
      </c>
      <c r="D109" t="inlineStr">
        <is>
          <t>ÖREBRO LÄN</t>
        </is>
      </c>
      <c r="E109" t="inlineStr">
        <is>
          <t>LEKEBERG</t>
        </is>
      </c>
      <c r="G109" t="n">
        <v>0.9</v>
      </c>
      <c r="H109" t="n">
        <v>0</v>
      </c>
      <c r="I109" t="n">
        <v>0</v>
      </c>
      <c r="J109" t="n">
        <v>0</v>
      </c>
      <c r="K109" t="n">
        <v>0</v>
      </c>
      <c r="L109" t="n">
        <v>0</v>
      </c>
      <c r="M109" t="n">
        <v>0</v>
      </c>
      <c r="N109" t="n">
        <v>0</v>
      </c>
      <c r="O109" t="n">
        <v>0</v>
      </c>
      <c r="P109" t="n">
        <v>0</v>
      </c>
      <c r="Q109" t="n">
        <v>0</v>
      </c>
      <c r="R109" s="2" t="inlineStr"/>
    </row>
    <row r="110" ht="15" customHeight="1">
      <c r="A110" t="inlineStr">
        <is>
          <t>A 15597-2025</t>
        </is>
      </c>
      <c r="B110" s="1" t="n">
        <v>45747.9108449074</v>
      </c>
      <c r="C110" s="1" t="n">
        <v>45963</v>
      </c>
      <c r="D110" t="inlineStr">
        <is>
          <t>ÖREBRO LÄN</t>
        </is>
      </c>
      <c r="E110" t="inlineStr">
        <is>
          <t>LEKEBERG</t>
        </is>
      </c>
      <c r="G110" t="n">
        <v>4.2</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45963</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50104-2024</t>
        </is>
      </c>
      <c r="B112" s="1" t="n">
        <v>45600.40037037037</v>
      </c>
      <c r="C112" s="1" t="n">
        <v>45963</v>
      </c>
      <c r="D112" t="inlineStr">
        <is>
          <t>ÖREBRO LÄN</t>
        </is>
      </c>
      <c r="E112" t="inlineStr">
        <is>
          <t>LEKEBERG</t>
        </is>
      </c>
      <c r="G112" t="n">
        <v>2.1</v>
      </c>
      <c r="H112" t="n">
        <v>0</v>
      </c>
      <c r="I112" t="n">
        <v>0</v>
      </c>
      <c r="J112" t="n">
        <v>0</v>
      </c>
      <c r="K112" t="n">
        <v>0</v>
      </c>
      <c r="L112" t="n">
        <v>0</v>
      </c>
      <c r="M112" t="n">
        <v>0</v>
      </c>
      <c r="N112" t="n">
        <v>0</v>
      </c>
      <c r="O112" t="n">
        <v>0</v>
      </c>
      <c r="P112" t="n">
        <v>0</v>
      </c>
      <c r="Q112" t="n">
        <v>0</v>
      </c>
      <c r="R112" s="2" t="inlineStr"/>
    </row>
    <row r="113" ht="15" customHeight="1">
      <c r="A113" t="inlineStr">
        <is>
          <t>A 33334-2023</t>
        </is>
      </c>
      <c r="B113" s="1" t="n">
        <v>45128.33488425926</v>
      </c>
      <c r="C113" s="1" t="n">
        <v>45963</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55727-2024</t>
        </is>
      </c>
      <c r="B114" s="1" t="n">
        <v>45622.90070601852</v>
      </c>
      <c r="C114" s="1" t="n">
        <v>45963</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12516-2025</t>
        </is>
      </c>
      <c r="B115" s="1" t="n">
        <v>45730.65107638889</v>
      </c>
      <c r="C115" s="1" t="n">
        <v>45963</v>
      </c>
      <c r="D115" t="inlineStr">
        <is>
          <t>ÖREBRO LÄN</t>
        </is>
      </c>
      <c r="E115" t="inlineStr">
        <is>
          <t>LEKEBERG</t>
        </is>
      </c>
      <c r="F115" t="inlineStr">
        <is>
          <t>Allmännings- och besparingsskogar</t>
        </is>
      </c>
      <c r="G115" t="n">
        <v>4.8</v>
      </c>
      <c r="H115" t="n">
        <v>0</v>
      </c>
      <c r="I115" t="n">
        <v>0</v>
      </c>
      <c r="J115" t="n">
        <v>0</v>
      </c>
      <c r="K115" t="n">
        <v>0</v>
      </c>
      <c r="L115" t="n">
        <v>0</v>
      </c>
      <c r="M115" t="n">
        <v>0</v>
      </c>
      <c r="N115" t="n">
        <v>0</v>
      </c>
      <c r="O115" t="n">
        <v>0</v>
      </c>
      <c r="P115" t="n">
        <v>0</v>
      </c>
      <c r="Q115" t="n">
        <v>0</v>
      </c>
      <c r="R115" s="2" t="inlineStr"/>
    </row>
    <row r="116" ht="15" customHeight="1">
      <c r="A116" t="inlineStr">
        <is>
          <t>A 56282-2023</t>
        </is>
      </c>
      <c r="B116" s="1" t="n">
        <v>45241.82328703703</v>
      </c>
      <c r="C116" s="1" t="n">
        <v>45963</v>
      </c>
      <c r="D116" t="inlineStr">
        <is>
          <t>ÖREBRO LÄN</t>
        </is>
      </c>
      <c r="E116" t="inlineStr">
        <is>
          <t>LEKEBERG</t>
        </is>
      </c>
      <c r="G116" t="n">
        <v>6.8</v>
      </c>
      <c r="H116" t="n">
        <v>0</v>
      </c>
      <c r="I116" t="n">
        <v>0</v>
      </c>
      <c r="J116" t="n">
        <v>0</v>
      </c>
      <c r="K116" t="n">
        <v>0</v>
      </c>
      <c r="L116" t="n">
        <v>0</v>
      </c>
      <c r="M116" t="n">
        <v>0</v>
      </c>
      <c r="N116" t="n">
        <v>0</v>
      </c>
      <c r="O116" t="n">
        <v>0</v>
      </c>
      <c r="P116" t="n">
        <v>0</v>
      </c>
      <c r="Q116" t="n">
        <v>0</v>
      </c>
      <c r="R116" s="2" t="inlineStr"/>
    </row>
    <row r="117" ht="15" customHeight="1">
      <c r="A117" t="inlineStr">
        <is>
          <t>A 10274-2023</t>
        </is>
      </c>
      <c r="B117" s="1" t="n">
        <v>44986</v>
      </c>
      <c r="C117" s="1" t="n">
        <v>45963</v>
      </c>
      <c r="D117" t="inlineStr">
        <is>
          <t>ÖREBRO LÄN</t>
        </is>
      </c>
      <c r="E117" t="inlineStr">
        <is>
          <t>LEKEBERG</t>
        </is>
      </c>
      <c r="G117" t="n">
        <v>2.9</v>
      </c>
      <c r="H117" t="n">
        <v>0</v>
      </c>
      <c r="I117" t="n">
        <v>0</v>
      </c>
      <c r="J117" t="n">
        <v>0</v>
      </c>
      <c r="K117" t="n">
        <v>0</v>
      </c>
      <c r="L117" t="n">
        <v>0</v>
      </c>
      <c r="M117" t="n">
        <v>0</v>
      </c>
      <c r="N117" t="n">
        <v>0</v>
      </c>
      <c r="O117" t="n">
        <v>0</v>
      </c>
      <c r="P117" t="n">
        <v>0</v>
      </c>
      <c r="Q117" t="n">
        <v>0</v>
      </c>
      <c r="R117" s="2" t="inlineStr"/>
    </row>
    <row r="118" ht="15" customHeight="1">
      <c r="A118" t="inlineStr">
        <is>
          <t>A 30747-2023</t>
        </is>
      </c>
      <c r="B118" s="1" t="n">
        <v>45112</v>
      </c>
      <c r="C118" s="1" t="n">
        <v>45963</v>
      </c>
      <c r="D118" t="inlineStr">
        <is>
          <t>ÖREBRO LÄN</t>
        </is>
      </c>
      <c r="E118" t="inlineStr">
        <is>
          <t>LEKEBERG</t>
        </is>
      </c>
      <c r="F118" t="inlineStr">
        <is>
          <t>Allmännings- och besparingsskogar</t>
        </is>
      </c>
      <c r="G118" t="n">
        <v>3.8</v>
      </c>
      <c r="H118" t="n">
        <v>0</v>
      </c>
      <c r="I118" t="n">
        <v>0</v>
      </c>
      <c r="J118" t="n">
        <v>0</v>
      </c>
      <c r="K118" t="n">
        <v>0</v>
      </c>
      <c r="L118" t="n">
        <v>0</v>
      </c>
      <c r="M118" t="n">
        <v>0</v>
      </c>
      <c r="N118" t="n">
        <v>0</v>
      </c>
      <c r="O118" t="n">
        <v>0</v>
      </c>
      <c r="P118" t="n">
        <v>0</v>
      </c>
      <c r="Q118" t="n">
        <v>0</v>
      </c>
      <c r="R118" s="2" t="inlineStr"/>
    </row>
    <row r="119" ht="15" customHeight="1">
      <c r="A119" t="inlineStr">
        <is>
          <t>A 44650-2024</t>
        </is>
      </c>
      <c r="B119" s="1" t="n">
        <v>45574</v>
      </c>
      <c r="C119" s="1" t="n">
        <v>45963</v>
      </c>
      <c r="D119" t="inlineStr">
        <is>
          <t>ÖREBRO LÄN</t>
        </is>
      </c>
      <c r="E119" t="inlineStr">
        <is>
          <t>LEKEBERG</t>
        </is>
      </c>
      <c r="G119" t="n">
        <v>8</v>
      </c>
      <c r="H119" t="n">
        <v>0</v>
      </c>
      <c r="I119" t="n">
        <v>0</v>
      </c>
      <c r="J119" t="n">
        <v>0</v>
      </c>
      <c r="K119" t="n">
        <v>0</v>
      </c>
      <c r="L119" t="n">
        <v>0</v>
      </c>
      <c r="M119" t="n">
        <v>0</v>
      </c>
      <c r="N119" t="n">
        <v>0</v>
      </c>
      <c r="O119" t="n">
        <v>0</v>
      </c>
      <c r="P119" t="n">
        <v>0</v>
      </c>
      <c r="Q119" t="n">
        <v>0</v>
      </c>
      <c r="R119" s="2" t="inlineStr"/>
    </row>
    <row r="120" ht="15" customHeight="1">
      <c r="A120" t="inlineStr">
        <is>
          <t>A 58548-2024</t>
        </is>
      </c>
      <c r="B120" s="1" t="n">
        <v>45635.45878472222</v>
      </c>
      <c r="C120" s="1" t="n">
        <v>45963</v>
      </c>
      <c r="D120" t="inlineStr">
        <is>
          <t>ÖREBRO LÄN</t>
        </is>
      </c>
      <c r="E120" t="inlineStr">
        <is>
          <t>LEKEBERG</t>
        </is>
      </c>
      <c r="G120" t="n">
        <v>6.3</v>
      </c>
      <c r="H120" t="n">
        <v>0</v>
      </c>
      <c r="I120" t="n">
        <v>0</v>
      </c>
      <c r="J120" t="n">
        <v>0</v>
      </c>
      <c r="K120" t="n">
        <v>0</v>
      </c>
      <c r="L120" t="n">
        <v>0</v>
      </c>
      <c r="M120" t="n">
        <v>0</v>
      </c>
      <c r="N120" t="n">
        <v>0</v>
      </c>
      <c r="O120" t="n">
        <v>0</v>
      </c>
      <c r="P120" t="n">
        <v>0</v>
      </c>
      <c r="Q120" t="n">
        <v>0</v>
      </c>
      <c r="R120" s="2" t="inlineStr"/>
    </row>
    <row r="121" ht="15" customHeight="1">
      <c r="A121" t="inlineStr">
        <is>
          <t>A 14702-2023</t>
        </is>
      </c>
      <c r="B121" s="1" t="n">
        <v>45014</v>
      </c>
      <c r="C121" s="1" t="n">
        <v>45963</v>
      </c>
      <c r="D121" t="inlineStr">
        <is>
          <t>ÖREBRO LÄN</t>
        </is>
      </c>
      <c r="E121" t="inlineStr">
        <is>
          <t>LEKEBERG</t>
        </is>
      </c>
      <c r="G121" t="n">
        <v>12.1</v>
      </c>
      <c r="H121" t="n">
        <v>0</v>
      </c>
      <c r="I121" t="n">
        <v>0</v>
      </c>
      <c r="J121" t="n">
        <v>0</v>
      </c>
      <c r="K121" t="n">
        <v>0</v>
      </c>
      <c r="L121" t="n">
        <v>0</v>
      </c>
      <c r="M121" t="n">
        <v>0</v>
      </c>
      <c r="N121" t="n">
        <v>0</v>
      </c>
      <c r="O121" t="n">
        <v>0</v>
      </c>
      <c r="P121" t="n">
        <v>0</v>
      </c>
      <c r="Q121" t="n">
        <v>0</v>
      </c>
      <c r="R121" s="2" t="inlineStr"/>
    </row>
    <row r="122" ht="15" customHeight="1">
      <c r="A122" t="inlineStr">
        <is>
          <t>A 24055-2025</t>
        </is>
      </c>
      <c r="B122" s="1" t="n">
        <v>45796</v>
      </c>
      <c r="C122" s="1" t="n">
        <v>45963</v>
      </c>
      <c r="D122" t="inlineStr">
        <is>
          <t>ÖREBRO LÄN</t>
        </is>
      </c>
      <c r="E122" t="inlineStr">
        <is>
          <t>LEKEBERG</t>
        </is>
      </c>
      <c r="G122" t="n">
        <v>4.2</v>
      </c>
      <c r="H122" t="n">
        <v>0</v>
      </c>
      <c r="I122" t="n">
        <v>0</v>
      </c>
      <c r="J122" t="n">
        <v>0</v>
      </c>
      <c r="K122" t="n">
        <v>0</v>
      </c>
      <c r="L122" t="n">
        <v>0</v>
      </c>
      <c r="M122" t="n">
        <v>0</v>
      </c>
      <c r="N122" t="n">
        <v>0</v>
      </c>
      <c r="O122" t="n">
        <v>0</v>
      </c>
      <c r="P122" t="n">
        <v>0</v>
      </c>
      <c r="Q122" t="n">
        <v>0</v>
      </c>
      <c r="R122" s="2" t="inlineStr"/>
    </row>
    <row r="123" ht="15" customHeight="1">
      <c r="A123" t="inlineStr">
        <is>
          <t>A 61644-2023</t>
        </is>
      </c>
      <c r="B123" s="1" t="n">
        <v>45263</v>
      </c>
      <c r="C123" s="1" t="n">
        <v>45963</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57257-2020</t>
        </is>
      </c>
      <c r="B124" s="1" t="n">
        <v>44139</v>
      </c>
      <c r="C124" s="1" t="n">
        <v>45963</v>
      </c>
      <c r="D124" t="inlineStr">
        <is>
          <t>ÖREBRO LÄN</t>
        </is>
      </c>
      <c r="E124" t="inlineStr">
        <is>
          <t>LEKEBERG</t>
        </is>
      </c>
      <c r="F124" t="inlineStr">
        <is>
          <t>Allmännings- och besparingsskogar</t>
        </is>
      </c>
      <c r="G124" t="n">
        <v>0.8</v>
      </c>
      <c r="H124" t="n">
        <v>0</v>
      </c>
      <c r="I124" t="n">
        <v>0</v>
      </c>
      <c r="J124" t="n">
        <v>0</v>
      </c>
      <c r="K124" t="n">
        <v>0</v>
      </c>
      <c r="L124" t="n">
        <v>0</v>
      </c>
      <c r="M124" t="n">
        <v>0</v>
      </c>
      <c r="N124" t="n">
        <v>0</v>
      </c>
      <c r="O124" t="n">
        <v>0</v>
      </c>
      <c r="P124" t="n">
        <v>0</v>
      </c>
      <c r="Q124" t="n">
        <v>0</v>
      </c>
      <c r="R124" s="2" t="inlineStr"/>
    </row>
    <row r="125" ht="15" customHeight="1">
      <c r="A125" t="inlineStr">
        <is>
          <t>A 18272-2024</t>
        </is>
      </c>
      <c r="B125" s="1" t="n">
        <v>45421.69873842593</v>
      </c>
      <c r="C125" s="1" t="n">
        <v>45963</v>
      </c>
      <c r="D125" t="inlineStr">
        <is>
          <t>ÖREBRO LÄN</t>
        </is>
      </c>
      <c r="E125" t="inlineStr">
        <is>
          <t>LEKEBERG</t>
        </is>
      </c>
      <c r="G125" t="n">
        <v>0.4</v>
      </c>
      <c r="H125" t="n">
        <v>0</v>
      </c>
      <c r="I125" t="n">
        <v>0</v>
      </c>
      <c r="J125" t="n">
        <v>0</v>
      </c>
      <c r="K125" t="n">
        <v>0</v>
      </c>
      <c r="L125" t="n">
        <v>0</v>
      </c>
      <c r="M125" t="n">
        <v>0</v>
      </c>
      <c r="N125" t="n">
        <v>0</v>
      </c>
      <c r="O125" t="n">
        <v>0</v>
      </c>
      <c r="P125" t="n">
        <v>0</v>
      </c>
      <c r="Q125" t="n">
        <v>0</v>
      </c>
      <c r="R125" s="2" t="inlineStr"/>
    </row>
    <row r="126" ht="15" customHeight="1">
      <c r="A126" t="inlineStr">
        <is>
          <t>A 47906-2023</t>
        </is>
      </c>
      <c r="B126" s="1" t="n">
        <v>45204</v>
      </c>
      <c r="C126" s="1" t="n">
        <v>45963</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37042-2024</t>
        </is>
      </c>
      <c r="B127" s="1" t="n">
        <v>45539</v>
      </c>
      <c r="C127" s="1" t="n">
        <v>45963</v>
      </c>
      <c r="D127" t="inlineStr">
        <is>
          <t>ÖREBRO LÄN</t>
        </is>
      </c>
      <c r="E127" t="inlineStr">
        <is>
          <t>LEKEBERG</t>
        </is>
      </c>
      <c r="G127" t="n">
        <v>2.4</v>
      </c>
      <c r="H127" t="n">
        <v>0</v>
      </c>
      <c r="I127" t="n">
        <v>0</v>
      </c>
      <c r="J127" t="n">
        <v>0</v>
      </c>
      <c r="K127" t="n">
        <v>0</v>
      </c>
      <c r="L127" t="n">
        <v>0</v>
      </c>
      <c r="M127" t="n">
        <v>0</v>
      </c>
      <c r="N127" t="n">
        <v>0</v>
      </c>
      <c r="O127" t="n">
        <v>0</v>
      </c>
      <c r="P127" t="n">
        <v>0</v>
      </c>
      <c r="Q127" t="n">
        <v>0</v>
      </c>
      <c r="R127" s="2" t="inlineStr"/>
    </row>
    <row r="128" ht="15" customHeight="1">
      <c r="A128" t="inlineStr">
        <is>
          <t>A 7202-2023</t>
        </is>
      </c>
      <c r="B128" s="1" t="n">
        <v>44965</v>
      </c>
      <c r="C128" s="1" t="n">
        <v>45963</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14176-2025</t>
        </is>
      </c>
      <c r="B129" s="1" t="n">
        <v>45740.52974537037</v>
      </c>
      <c r="C129" s="1" t="n">
        <v>45963</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24913-2023</t>
        </is>
      </c>
      <c r="B130" s="1" t="n">
        <v>45085.49424768519</v>
      </c>
      <c r="C130" s="1" t="n">
        <v>45963</v>
      </c>
      <c r="D130" t="inlineStr">
        <is>
          <t>ÖREBRO LÄN</t>
        </is>
      </c>
      <c r="E130" t="inlineStr">
        <is>
          <t>LEKEBERG</t>
        </is>
      </c>
      <c r="G130" t="n">
        <v>2.5</v>
      </c>
      <c r="H130" t="n">
        <v>0</v>
      </c>
      <c r="I130" t="n">
        <v>0</v>
      </c>
      <c r="J130" t="n">
        <v>0</v>
      </c>
      <c r="K130" t="n">
        <v>0</v>
      </c>
      <c r="L130" t="n">
        <v>0</v>
      </c>
      <c r="M130" t="n">
        <v>0</v>
      </c>
      <c r="N130" t="n">
        <v>0</v>
      </c>
      <c r="O130" t="n">
        <v>0</v>
      </c>
      <c r="P130" t="n">
        <v>0</v>
      </c>
      <c r="Q130" t="n">
        <v>0</v>
      </c>
      <c r="R130" s="2" t="inlineStr"/>
    </row>
    <row r="131" ht="15" customHeight="1">
      <c r="A131" t="inlineStr">
        <is>
          <t>A 19044-2023</t>
        </is>
      </c>
      <c r="B131" s="1" t="n">
        <v>45047</v>
      </c>
      <c r="C131" s="1" t="n">
        <v>45963</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21042-2023</t>
        </is>
      </c>
      <c r="B132" s="1" t="n">
        <v>45056</v>
      </c>
      <c r="C132" s="1" t="n">
        <v>45963</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45963</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26863-2025</t>
        </is>
      </c>
      <c r="B134" s="1" t="n">
        <v>45810.69763888889</v>
      </c>
      <c r="C134" s="1" t="n">
        <v>45963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45963</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56635-2022</t>
        </is>
      </c>
      <c r="B136" s="1" t="n">
        <v>44893</v>
      </c>
      <c r="C136" s="1" t="n">
        <v>45963</v>
      </c>
      <c r="D136" t="inlineStr">
        <is>
          <t>ÖREBRO LÄN</t>
        </is>
      </c>
      <c r="E136" t="inlineStr">
        <is>
          <t>LEKEBERG</t>
        </is>
      </c>
      <c r="G136" t="n">
        <v>3</v>
      </c>
      <c r="H136" t="n">
        <v>0</v>
      </c>
      <c r="I136" t="n">
        <v>0</v>
      </c>
      <c r="J136" t="n">
        <v>0</v>
      </c>
      <c r="K136" t="n">
        <v>0</v>
      </c>
      <c r="L136" t="n">
        <v>0</v>
      </c>
      <c r="M136" t="n">
        <v>0</v>
      </c>
      <c r="N136" t="n">
        <v>0</v>
      </c>
      <c r="O136" t="n">
        <v>0</v>
      </c>
      <c r="P136" t="n">
        <v>0</v>
      </c>
      <c r="Q136" t="n">
        <v>0</v>
      </c>
      <c r="R136" s="2" t="inlineStr"/>
    </row>
    <row r="137" ht="15" customHeight="1">
      <c r="A137" t="inlineStr">
        <is>
          <t>A 19178-2025</t>
        </is>
      </c>
      <c r="B137" s="1" t="n">
        <v>45769</v>
      </c>
      <c r="C137" s="1" t="n">
        <v>45963</v>
      </c>
      <c r="D137" t="inlineStr">
        <is>
          <t>ÖREBRO LÄN</t>
        </is>
      </c>
      <c r="E137" t="inlineStr">
        <is>
          <t>LEKEBERG</t>
        </is>
      </c>
      <c r="G137" t="n">
        <v>3.6</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45963</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45963</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6101-2024</t>
        </is>
      </c>
      <c r="B140" s="1" t="n">
        <v>45337</v>
      </c>
      <c r="C140" s="1" t="n">
        <v>45963</v>
      </c>
      <c r="D140" t="inlineStr">
        <is>
          <t>ÖREBRO LÄN</t>
        </is>
      </c>
      <c r="E140" t="inlineStr">
        <is>
          <t>LEKEBERG</t>
        </is>
      </c>
      <c r="G140" t="n">
        <v>4.2</v>
      </c>
      <c r="H140" t="n">
        <v>0</v>
      </c>
      <c r="I140" t="n">
        <v>0</v>
      </c>
      <c r="J140" t="n">
        <v>0</v>
      </c>
      <c r="K140" t="n">
        <v>0</v>
      </c>
      <c r="L140" t="n">
        <v>0</v>
      </c>
      <c r="M140" t="n">
        <v>0</v>
      </c>
      <c r="N140" t="n">
        <v>0</v>
      </c>
      <c r="O140" t="n">
        <v>0</v>
      </c>
      <c r="P140" t="n">
        <v>0</v>
      </c>
      <c r="Q140" t="n">
        <v>0</v>
      </c>
      <c r="R140" s="2" t="inlineStr"/>
    </row>
    <row r="141" ht="15" customHeight="1">
      <c r="A141" t="inlineStr">
        <is>
          <t>A 33262-2023</t>
        </is>
      </c>
      <c r="B141" s="1" t="n">
        <v>45127.56380787037</v>
      </c>
      <c r="C141" s="1" t="n">
        <v>45963</v>
      </c>
      <c r="D141" t="inlineStr">
        <is>
          <t>ÖREBRO LÄN</t>
        </is>
      </c>
      <c r="E141" t="inlineStr">
        <is>
          <t>LEKEBERG</t>
        </is>
      </c>
      <c r="G141" t="n">
        <v>0.4</v>
      </c>
      <c r="H141" t="n">
        <v>0</v>
      </c>
      <c r="I141" t="n">
        <v>0</v>
      </c>
      <c r="J141" t="n">
        <v>0</v>
      </c>
      <c r="K141" t="n">
        <v>0</v>
      </c>
      <c r="L141" t="n">
        <v>0</v>
      </c>
      <c r="M141" t="n">
        <v>0</v>
      </c>
      <c r="N141" t="n">
        <v>0</v>
      </c>
      <c r="O141" t="n">
        <v>0</v>
      </c>
      <c r="P141" t="n">
        <v>0</v>
      </c>
      <c r="Q141" t="n">
        <v>0</v>
      </c>
      <c r="R141" s="2" t="inlineStr"/>
    </row>
    <row r="142" ht="15" customHeight="1">
      <c r="A142" t="inlineStr">
        <is>
          <t>A 33259-2023</t>
        </is>
      </c>
      <c r="B142" s="1" t="n">
        <v>45127.56025462963</v>
      </c>
      <c r="C142" s="1" t="n">
        <v>45963</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2039-2025</t>
        </is>
      </c>
      <c r="B143" s="1" t="n">
        <v>45672</v>
      </c>
      <c r="C143" s="1" t="n">
        <v>45963</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11383-2023</t>
        </is>
      </c>
      <c r="B144" s="1" t="n">
        <v>44993.45693287037</v>
      </c>
      <c r="C144" s="1" t="n">
        <v>45963</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29773-2025</t>
        </is>
      </c>
      <c r="B145" s="1" t="n">
        <v>45825.63271990741</v>
      </c>
      <c r="C145" s="1" t="n">
        <v>45963</v>
      </c>
      <c r="D145" t="inlineStr">
        <is>
          <t>ÖREBRO LÄN</t>
        </is>
      </c>
      <c r="E145" t="inlineStr">
        <is>
          <t>LEKEBERG</t>
        </is>
      </c>
      <c r="G145" t="n">
        <v>1</v>
      </c>
      <c r="H145" t="n">
        <v>0</v>
      </c>
      <c r="I145" t="n">
        <v>0</v>
      </c>
      <c r="J145" t="n">
        <v>0</v>
      </c>
      <c r="K145" t="n">
        <v>0</v>
      </c>
      <c r="L145" t="n">
        <v>0</v>
      </c>
      <c r="M145" t="n">
        <v>0</v>
      </c>
      <c r="N145" t="n">
        <v>0</v>
      </c>
      <c r="O145" t="n">
        <v>0</v>
      </c>
      <c r="P145" t="n">
        <v>0</v>
      </c>
      <c r="Q145" t="n">
        <v>0</v>
      </c>
      <c r="R145" s="2" t="inlineStr"/>
    </row>
    <row r="146" ht="15" customHeight="1">
      <c r="A146" t="inlineStr">
        <is>
          <t>A 47902-2023</t>
        </is>
      </c>
      <c r="B146" s="1" t="n">
        <v>45204.49861111111</v>
      </c>
      <c r="C146" s="1" t="n">
        <v>45963</v>
      </c>
      <c r="D146" t="inlineStr">
        <is>
          <t>ÖREBRO LÄN</t>
        </is>
      </c>
      <c r="E146" t="inlineStr">
        <is>
          <t>LEKEBERG</t>
        </is>
      </c>
      <c r="G146" t="n">
        <v>1.5</v>
      </c>
      <c r="H146" t="n">
        <v>0</v>
      </c>
      <c r="I146" t="n">
        <v>0</v>
      </c>
      <c r="J146" t="n">
        <v>0</v>
      </c>
      <c r="K146" t="n">
        <v>0</v>
      </c>
      <c r="L146" t="n">
        <v>0</v>
      </c>
      <c r="M146" t="n">
        <v>0</v>
      </c>
      <c r="N146" t="n">
        <v>0</v>
      </c>
      <c r="O146" t="n">
        <v>0</v>
      </c>
      <c r="P146" t="n">
        <v>0</v>
      </c>
      <c r="Q146" t="n">
        <v>0</v>
      </c>
      <c r="R146" s="2" t="inlineStr"/>
    </row>
    <row r="147" ht="15" customHeight="1">
      <c r="A147" t="inlineStr">
        <is>
          <t>A 26702-2023</t>
        </is>
      </c>
      <c r="B147" s="1" t="n">
        <v>45093</v>
      </c>
      <c r="C147" s="1" t="n">
        <v>45963</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21886-2023</t>
        </is>
      </c>
      <c r="B148" s="1" t="n">
        <v>45068</v>
      </c>
      <c r="C148" s="1" t="n">
        <v>45963</v>
      </c>
      <c r="D148" t="inlineStr">
        <is>
          <t>ÖREBRO LÄN</t>
        </is>
      </c>
      <c r="E148" t="inlineStr">
        <is>
          <t>LEKEBERG</t>
        </is>
      </c>
      <c r="G148" t="n">
        <v>2.1</v>
      </c>
      <c r="H148" t="n">
        <v>0</v>
      </c>
      <c r="I148" t="n">
        <v>0</v>
      </c>
      <c r="J148" t="n">
        <v>0</v>
      </c>
      <c r="K148" t="n">
        <v>0</v>
      </c>
      <c r="L148" t="n">
        <v>0</v>
      </c>
      <c r="M148" t="n">
        <v>0</v>
      </c>
      <c r="N148" t="n">
        <v>0</v>
      </c>
      <c r="O148" t="n">
        <v>0</v>
      </c>
      <c r="P148" t="n">
        <v>0</v>
      </c>
      <c r="Q148" t="n">
        <v>0</v>
      </c>
      <c r="R148" s="2" t="inlineStr"/>
    </row>
    <row r="149" ht="15" customHeight="1">
      <c r="A149" t="inlineStr">
        <is>
          <t>A 21886-2023</t>
        </is>
      </c>
      <c r="B149" s="1" t="n">
        <v>45068</v>
      </c>
      <c r="C149" s="1" t="n">
        <v>45963</v>
      </c>
      <c r="D149" t="inlineStr">
        <is>
          <t>ÖREBRO LÄN</t>
        </is>
      </c>
      <c r="E149" t="inlineStr">
        <is>
          <t>LEKEBERG</t>
        </is>
      </c>
      <c r="G149" t="n">
        <v>0.3</v>
      </c>
      <c r="H149" t="n">
        <v>0</v>
      </c>
      <c r="I149" t="n">
        <v>0</v>
      </c>
      <c r="J149" t="n">
        <v>0</v>
      </c>
      <c r="K149" t="n">
        <v>0</v>
      </c>
      <c r="L149" t="n">
        <v>0</v>
      </c>
      <c r="M149" t="n">
        <v>0</v>
      </c>
      <c r="N149" t="n">
        <v>0</v>
      </c>
      <c r="O149" t="n">
        <v>0</v>
      </c>
      <c r="P149" t="n">
        <v>0</v>
      </c>
      <c r="Q149" t="n">
        <v>0</v>
      </c>
      <c r="R149" s="2" t="inlineStr"/>
    </row>
    <row r="150" ht="15" customHeight="1">
      <c r="A150" t="inlineStr">
        <is>
          <t>A 41008-2024</t>
        </is>
      </c>
      <c r="B150" s="1" t="n">
        <v>45559</v>
      </c>
      <c r="C150" s="1" t="n">
        <v>45963</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64615-2023</t>
        </is>
      </c>
      <c r="B151" s="1" t="n">
        <v>45281.52231481481</v>
      </c>
      <c r="C151" s="1" t="n">
        <v>45963</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14169-2025</t>
        </is>
      </c>
      <c r="B152" s="1" t="n">
        <v>45740.51894675926</v>
      </c>
      <c r="C152" s="1" t="n">
        <v>45963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9769-2025</t>
        </is>
      </c>
      <c r="B153" s="1" t="n">
        <v>45716.48861111111</v>
      </c>
      <c r="C153" s="1" t="n">
        <v>45963</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1599-2025</t>
        </is>
      </c>
      <c r="B154" s="1" t="n">
        <v>45670.58930555556</v>
      </c>
      <c r="C154" s="1" t="n">
        <v>45963</v>
      </c>
      <c r="D154" t="inlineStr">
        <is>
          <t>ÖREBRO LÄN</t>
        </is>
      </c>
      <c r="E154" t="inlineStr">
        <is>
          <t>LEKEBERG</t>
        </is>
      </c>
      <c r="F154" t="inlineStr">
        <is>
          <t>Allmännings- och besparingsskogar</t>
        </is>
      </c>
      <c r="G154" t="n">
        <v>18.8</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44839.67604166667</v>
      </c>
      <c r="C155" s="1" t="n">
        <v>45963</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16914-2022</t>
        </is>
      </c>
      <c r="B156" s="1" t="n">
        <v>44676.43390046297</v>
      </c>
      <c r="C156" s="1" t="n">
        <v>45963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11794-2023</t>
        </is>
      </c>
      <c r="B157" s="1" t="n">
        <v>44994</v>
      </c>
      <c r="C157" s="1" t="n">
        <v>45963</v>
      </c>
      <c r="D157" t="inlineStr">
        <is>
          <t>ÖREBRO LÄN</t>
        </is>
      </c>
      <c r="E157" t="inlineStr">
        <is>
          <t>LEKEBERG</t>
        </is>
      </c>
      <c r="G157" t="n">
        <v>7.6</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45963</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11289-2025</t>
        </is>
      </c>
      <c r="B159" s="1" t="n">
        <v>45726.42762731481</v>
      </c>
      <c r="C159" s="1" t="n">
        <v>45963</v>
      </c>
      <c r="D159" t="inlineStr">
        <is>
          <t>ÖREBRO LÄN</t>
        </is>
      </c>
      <c r="E159" t="inlineStr">
        <is>
          <t>LEKEBERG</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40329-2024</t>
        </is>
      </c>
      <c r="B160" s="1" t="n">
        <v>45555</v>
      </c>
      <c r="C160" s="1" t="n">
        <v>45963</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27947-2023</t>
        </is>
      </c>
      <c r="B161" s="1" t="n">
        <v>45098.66921296297</v>
      </c>
      <c r="C161" s="1" t="n">
        <v>45963</v>
      </c>
      <c r="D161" t="inlineStr">
        <is>
          <t>ÖREBRO LÄN</t>
        </is>
      </c>
      <c r="E161" t="inlineStr">
        <is>
          <t>LEKEBERG</t>
        </is>
      </c>
      <c r="G161" t="n">
        <v>0.5</v>
      </c>
      <c r="H161" t="n">
        <v>0</v>
      </c>
      <c r="I161" t="n">
        <v>0</v>
      </c>
      <c r="J161" t="n">
        <v>0</v>
      </c>
      <c r="K161" t="n">
        <v>0</v>
      </c>
      <c r="L161" t="n">
        <v>0</v>
      </c>
      <c r="M161" t="n">
        <v>0</v>
      </c>
      <c r="N161" t="n">
        <v>0</v>
      </c>
      <c r="O161" t="n">
        <v>0</v>
      </c>
      <c r="P161" t="n">
        <v>0</v>
      </c>
      <c r="Q161" t="n">
        <v>0</v>
      </c>
      <c r="R161" s="2" t="inlineStr"/>
    </row>
    <row r="162" ht="15" customHeight="1">
      <c r="A162" t="inlineStr">
        <is>
          <t>A 33336-2023</t>
        </is>
      </c>
      <c r="B162" s="1" t="n">
        <v>45128.33729166666</v>
      </c>
      <c r="C162" s="1" t="n">
        <v>45963</v>
      </c>
      <c r="D162" t="inlineStr">
        <is>
          <t>ÖREBRO LÄN</t>
        </is>
      </c>
      <c r="E162" t="inlineStr">
        <is>
          <t>LEKEBERG</t>
        </is>
      </c>
      <c r="G162" t="n">
        <v>1.1</v>
      </c>
      <c r="H162" t="n">
        <v>0</v>
      </c>
      <c r="I162" t="n">
        <v>0</v>
      </c>
      <c r="J162" t="n">
        <v>0</v>
      </c>
      <c r="K162" t="n">
        <v>0</v>
      </c>
      <c r="L162" t="n">
        <v>0</v>
      </c>
      <c r="M162" t="n">
        <v>0</v>
      </c>
      <c r="N162" t="n">
        <v>0</v>
      </c>
      <c r="O162" t="n">
        <v>0</v>
      </c>
      <c r="P162" t="n">
        <v>0</v>
      </c>
      <c r="Q162" t="n">
        <v>0</v>
      </c>
      <c r="R162" s="2" t="inlineStr"/>
    </row>
    <row r="163" ht="15" customHeight="1">
      <c r="A163" t="inlineStr">
        <is>
          <t>A 33337-2023</t>
        </is>
      </c>
      <c r="B163" s="1" t="n">
        <v>45128.3400925926</v>
      </c>
      <c r="C163" s="1" t="n">
        <v>45963</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40240-2024</t>
        </is>
      </c>
      <c r="B164" s="1" t="n">
        <v>45554.61458333334</v>
      </c>
      <c r="C164" s="1" t="n">
        <v>45963</v>
      </c>
      <c r="D164" t="inlineStr">
        <is>
          <t>ÖREBRO LÄN</t>
        </is>
      </c>
      <c r="E164" t="inlineStr">
        <is>
          <t>LEKEBERG</t>
        </is>
      </c>
      <c r="G164" t="n">
        <v>3.6</v>
      </c>
      <c r="H164" t="n">
        <v>0</v>
      </c>
      <c r="I164" t="n">
        <v>0</v>
      </c>
      <c r="J164" t="n">
        <v>0</v>
      </c>
      <c r="K164" t="n">
        <v>0</v>
      </c>
      <c r="L164" t="n">
        <v>0</v>
      </c>
      <c r="M164" t="n">
        <v>0</v>
      </c>
      <c r="N164" t="n">
        <v>0</v>
      </c>
      <c r="O164" t="n">
        <v>0</v>
      </c>
      <c r="P164" t="n">
        <v>0</v>
      </c>
      <c r="Q164" t="n">
        <v>0</v>
      </c>
      <c r="R164" s="2" t="inlineStr"/>
    </row>
    <row r="165" ht="15" customHeight="1">
      <c r="A165" t="inlineStr">
        <is>
          <t>A 58935-2023</t>
        </is>
      </c>
      <c r="B165" s="1" t="n">
        <v>45250</v>
      </c>
      <c r="C165" s="1" t="n">
        <v>45963</v>
      </c>
      <c r="D165" t="inlineStr">
        <is>
          <t>ÖREBRO LÄN</t>
        </is>
      </c>
      <c r="E165" t="inlineStr">
        <is>
          <t>LEKEBERG</t>
        </is>
      </c>
      <c r="G165" t="n">
        <v>2.2</v>
      </c>
      <c r="H165" t="n">
        <v>0</v>
      </c>
      <c r="I165" t="n">
        <v>0</v>
      </c>
      <c r="J165" t="n">
        <v>0</v>
      </c>
      <c r="K165" t="n">
        <v>0</v>
      </c>
      <c r="L165" t="n">
        <v>0</v>
      </c>
      <c r="M165" t="n">
        <v>0</v>
      </c>
      <c r="N165" t="n">
        <v>0</v>
      </c>
      <c r="O165" t="n">
        <v>0</v>
      </c>
      <c r="P165" t="n">
        <v>0</v>
      </c>
      <c r="Q165" t="n">
        <v>0</v>
      </c>
      <c r="R165" s="2" t="inlineStr"/>
    </row>
    <row r="166" ht="15" customHeight="1">
      <c r="A166" t="inlineStr">
        <is>
          <t>A 33907-2024</t>
        </is>
      </c>
      <c r="B166" s="1" t="n">
        <v>45523.37623842592</v>
      </c>
      <c r="C166" s="1" t="n">
        <v>45963</v>
      </c>
      <c r="D166" t="inlineStr">
        <is>
          <t>ÖREBRO LÄN</t>
        </is>
      </c>
      <c r="E166" t="inlineStr">
        <is>
          <t>LEKEBERG</t>
        </is>
      </c>
      <c r="G166" t="n">
        <v>3.3</v>
      </c>
      <c r="H166" t="n">
        <v>0</v>
      </c>
      <c r="I166" t="n">
        <v>0</v>
      </c>
      <c r="J166" t="n">
        <v>0</v>
      </c>
      <c r="K166" t="n">
        <v>0</v>
      </c>
      <c r="L166" t="n">
        <v>0</v>
      </c>
      <c r="M166" t="n">
        <v>0</v>
      </c>
      <c r="N166" t="n">
        <v>0</v>
      </c>
      <c r="O166" t="n">
        <v>0</v>
      </c>
      <c r="P166" t="n">
        <v>0</v>
      </c>
      <c r="Q166" t="n">
        <v>0</v>
      </c>
      <c r="R166" s="2" t="inlineStr"/>
    </row>
    <row r="167" ht="15" customHeight="1">
      <c r="A167" t="inlineStr">
        <is>
          <t>A 33910-2024</t>
        </is>
      </c>
      <c r="B167" s="1" t="n">
        <v>45523.38473379629</v>
      </c>
      <c r="C167" s="1" t="n">
        <v>45963</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62841-2023</t>
        </is>
      </c>
      <c r="B168" s="1" t="n">
        <v>45270</v>
      </c>
      <c r="C168" s="1" t="n">
        <v>45963</v>
      </c>
      <c r="D168" t="inlineStr">
        <is>
          <t>ÖREBRO LÄN</t>
        </is>
      </c>
      <c r="E168" t="inlineStr">
        <is>
          <t>LEKEBERG</t>
        </is>
      </c>
      <c r="G168" t="n">
        <v>3.3</v>
      </c>
      <c r="H168" t="n">
        <v>0</v>
      </c>
      <c r="I168" t="n">
        <v>0</v>
      </c>
      <c r="J168" t="n">
        <v>0</v>
      </c>
      <c r="K168" t="n">
        <v>0</v>
      </c>
      <c r="L168" t="n">
        <v>0</v>
      </c>
      <c r="M168" t="n">
        <v>0</v>
      </c>
      <c r="N168" t="n">
        <v>0</v>
      </c>
      <c r="O168" t="n">
        <v>0</v>
      </c>
      <c r="P168" t="n">
        <v>0</v>
      </c>
      <c r="Q168" t="n">
        <v>0</v>
      </c>
      <c r="R168" s="2" t="inlineStr"/>
    </row>
    <row r="169" ht="15" customHeight="1">
      <c r="A169" t="inlineStr">
        <is>
          <t>A 36516-2023</t>
        </is>
      </c>
      <c r="B169" s="1" t="n">
        <v>45153</v>
      </c>
      <c r="C169" s="1" t="n">
        <v>45963</v>
      </c>
      <c r="D169" t="inlineStr">
        <is>
          <t>ÖREBRO LÄN</t>
        </is>
      </c>
      <c r="E169" t="inlineStr">
        <is>
          <t>LEKEBERG</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33204-2025</t>
        </is>
      </c>
      <c r="B170" s="1" t="n">
        <v>45840.61181712963</v>
      </c>
      <c r="C170" s="1" t="n">
        <v>45963</v>
      </c>
      <c r="D170" t="inlineStr">
        <is>
          <t>ÖREBRO LÄN</t>
        </is>
      </c>
      <c r="E170" t="inlineStr">
        <is>
          <t>LEKEBERG</t>
        </is>
      </c>
      <c r="G170" t="n">
        <v>1</v>
      </c>
      <c r="H170" t="n">
        <v>0</v>
      </c>
      <c r="I170" t="n">
        <v>0</v>
      </c>
      <c r="J170" t="n">
        <v>0</v>
      </c>
      <c r="K170" t="n">
        <v>0</v>
      </c>
      <c r="L170" t="n">
        <v>0</v>
      </c>
      <c r="M170" t="n">
        <v>0</v>
      </c>
      <c r="N170" t="n">
        <v>0</v>
      </c>
      <c r="O170" t="n">
        <v>0</v>
      </c>
      <c r="P170" t="n">
        <v>0</v>
      </c>
      <c r="Q170" t="n">
        <v>0</v>
      </c>
      <c r="R170" s="2" t="inlineStr"/>
    </row>
    <row r="171" ht="15" customHeight="1">
      <c r="A171" t="inlineStr">
        <is>
          <t>A 2038-2025</t>
        </is>
      </c>
      <c r="B171" s="1" t="n">
        <v>45672.49553240741</v>
      </c>
      <c r="C171" s="1" t="n">
        <v>45963</v>
      </c>
      <c r="D171" t="inlineStr">
        <is>
          <t>ÖREBRO LÄN</t>
        </is>
      </c>
      <c r="E171" t="inlineStr">
        <is>
          <t>LEKEBERG</t>
        </is>
      </c>
      <c r="G171" t="n">
        <v>2.5</v>
      </c>
      <c r="H171" t="n">
        <v>0</v>
      </c>
      <c r="I171" t="n">
        <v>0</v>
      </c>
      <c r="J171" t="n">
        <v>0</v>
      </c>
      <c r="K171" t="n">
        <v>0</v>
      </c>
      <c r="L171" t="n">
        <v>0</v>
      </c>
      <c r="M171" t="n">
        <v>0</v>
      </c>
      <c r="N171" t="n">
        <v>0</v>
      </c>
      <c r="O171" t="n">
        <v>0</v>
      </c>
      <c r="P171" t="n">
        <v>0</v>
      </c>
      <c r="Q171" t="n">
        <v>0</v>
      </c>
      <c r="R171" s="2" t="inlineStr"/>
    </row>
    <row r="172" ht="15" customHeight="1">
      <c r="A172" t="inlineStr">
        <is>
          <t>A 1157-2025</t>
        </is>
      </c>
      <c r="B172" s="1" t="n">
        <v>45666.75922453704</v>
      </c>
      <c r="C172" s="1" t="n">
        <v>45963</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31113-2023</t>
        </is>
      </c>
      <c r="B173" s="1" t="n">
        <v>45113</v>
      </c>
      <c r="C173" s="1" t="n">
        <v>45963</v>
      </c>
      <c r="D173" t="inlineStr">
        <is>
          <t>ÖREBRO LÄN</t>
        </is>
      </c>
      <c r="E173" t="inlineStr">
        <is>
          <t>LEKEBERG</t>
        </is>
      </c>
      <c r="G173" t="n">
        <v>1.8</v>
      </c>
      <c r="H173" t="n">
        <v>0</v>
      </c>
      <c r="I173" t="n">
        <v>0</v>
      </c>
      <c r="J173" t="n">
        <v>0</v>
      </c>
      <c r="K173" t="n">
        <v>0</v>
      </c>
      <c r="L173" t="n">
        <v>0</v>
      </c>
      <c r="M173" t="n">
        <v>0</v>
      </c>
      <c r="N173" t="n">
        <v>0</v>
      </c>
      <c r="O173" t="n">
        <v>0</v>
      </c>
      <c r="P173" t="n">
        <v>0</v>
      </c>
      <c r="Q173" t="n">
        <v>0</v>
      </c>
      <c r="R173" s="2" t="inlineStr"/>
    </row>
    <row r="174" ht="15" customHeight="1">
      <c r="A174" t="inlineStr">
        <is>
          <t>A 46810-2025</t>
        </is>
      </c>
      <c r="B174" s="1" t="n">
        <v>45926.69480324074</v>
      </c>
      <c r="C174" s="1" t="n">
        <v>45963</v>
      </c>
      <c r="D174" t="inlineStr">
        <is>
          <t>ÖREBRO LÄN</t>
        </is>
      </c>
      <c r="E174" t="inlineStr">
        <is>
          <t>LEKEBERG</t>
        </is>
      </c>
      <c r="G174" t="n">
        <v>1.1</v>
      </c>
      <c r="H174" t="n">
        <v>0</v>
      </c>
      <c r="I174" t="n">
        <v>0</v>
      </c>
      <c r="J174" t="n">
        <v>0</v>
      </c>
      <c r="K174" t="n">
        <v>0</v>
      </c>
      <c r="L174" t="n">
        <v>0</v>
      </c>
      <c r="M174" t="n">
        <v>0</v>
      </c>
      <c r="N174" t="n">
        <v>0</v>
      </c>
      <c r="O174" t="n">
        <v>0</v>
      </c>
      <c r="P174" t="n">
        <v>0</v>
      </c>
      <c r="Q174" t="n">
        <v>0</v>
      </c>
      <c r="R174" s="2" t="inlineStr"/>
    </row>
    <row r="175" ht="15" customHeight="1">
      <c r="A175" t="inlineStr">
        <is>
          <t>A 20787-2022</t>
        </is>
      </c>
      <c r="B175" s="1" t="n">
        <v>44701</v>
      </c>
      <c r="C175" s="1" t="n">
        <v>45963</v>
      </c>
      <c r="D175" t="inlineStr">
        <is>
          <t>ÖREBRO LÄN</t>
        </is>
      </c>
      <c r="E175" t="inlineStr">
        <is>
          <t>LEKEBERG</t>
        </is>
      </c>
      <c r="G175" t="n">
        <v>1</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45963</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58020-2021</t>
        </is>
      </c>
      <c r="B177" s="1" t="n">
        <v>44484</v>
      </c>
      <c r="C177" s="1" t="n">
        <v>45963</v>
      </c>
      <c r="D177" t="inlineStr">
        <is>
          <t>ÖREBRO LÄN</t>
        </is>
      </c>
      <c r="E177" t="inlineStr">
        <is>
          <t>LEKEBERG</t>
        </is>
      </c>
      <c r="G177" t="n">
        <v>2.8</v>
      </c>
      <c r="H177" t="n">
        <v>0</v>
      </c>
      <c r="I177" t="n">
        <v>0</v>
      </c>
      <c r="J177" t="n">
        <v>0</v>
      </c>
      <c r="K177" t="n">
        <v>0</v>
      </c>
      <c r="L177" t="n">
        <v>0</v>
      </c>
      <c r="M177" t="n">
        <v>0</v>
      </c>
      <c r="N177" t="n">
        <v>0</v>
      </c>
      <c r="O177" t="n">
        <v>0</v>
      </c>
      <c r="P177" t="n">
        <v>0</v>
      </c>
      <c r="Q177" t="n">
        <v>0</v>
      </c>
      <c r="R177" s="2" t="inlineStr"/>
    </row>
    <row r="178" ht="15" customHeight="1">
      <c r="A178" t="inlineStr">
        <is>
          <t>A 51659-2021</t>
        </is>
      </c>
      <c r="B178" s="1" t="n">
        <v>44462</v>
      </c>
      <c r="C178" s="1" t="n">
        <v>45963</v>
      </c>
      <c r="D178" t="inlineStr">
        <is>
          <t>ÖREBRO LÄN</t>
        </is>
      </c>
      <c r="E178" t="inlineStr">
        <is>
          <t>LEKEBERG</t>
        </is>
      </c>
      <c r="G178" t="n">
        <v>3.1</v>
      </c>
      <c r="H178" t="n">
        <v>0</v>
      </c>
      <c r="I178" t="n">
        <v>0</v>
      </c>
      <c r="J178" t="n">
        <v>0</v>
      </c>
      <c r="K178" t="n">
        <v>0</v>
      </c>
      <c r="L178" t="n">
        <v>0</v>
      </c>
      <c r="M178" t="n">
        <v>0</v>
      </c>
      <c r="N178" t="n">
        <v>0</v>
      </c>
      <c r="O178" t="n">
        <v>0</v>
      </c>
      <c r="P178" t="n">
        <v>0</v>
      </c>
      <c r="Q178" t="n">
        <v>0</v>
      </c>
      <c r="R178" s="2" t="inlineStr"/>
    </row>
    <row r="179" ht="15" customHeight="1">
      <c r="A179" t="inlineStr">
        <is>
          <t>A 22137-2022</t>
        </is>
      </c>
      <c r="B179" s="1" t="n">
        <v>44712</v>
      </c>
      <c r="C179" s="1" t="n">
        <v>45963</v>
      </c>
      <c r="D179" t="inlineStr">
        <is>
          <t>ÖREBRO LÄN</t>
        </is>
      </c>
      <c r="E179" t="inlineStr">
        <is>
          <t>LEKEBERG</t>
        </is>
      </c>
      <c r="G179" t="n">
        <v>1.9</v>
      </c>
      <c r="H179" t="n">
        <v>0</v>
      </c>
      <c r="I179" t="n">
        <v>0</v>
      </c>
      <c r="J179" t="n">
        <v>0</v>
      </c>
      <c r="K179" t="n">
        <v>0</v>
      </c>
      <c r="L179" t="n">
        <v>0</v>
      </c>
      <c r="M179" t="n">
        <v>0</v>
      </c>
      <c r="N179" t="n">
        <v>0</v>
      </c>
      <c r="O179" t="n">
        <v>0</v>
      </c>
      <c r="P179" t="n">
        <v>0</v>
      </c>
      <c r="Q179" t="n">
        <v>0</v>
      </c>
      <c r="R179" s="2" t="inlineStr"/>
    </row>
    <row r="180" ht="15" customHeight="1">
      <c r="A180" t="inlineStr">
        <is>
          <t>A 27638-2025</t>
        </is>
      </c>
      <c r="B180" s="1" t="n">
        <v>45813</v>
      </c>
      <c r="C180" s="1" t="n">
        <v>45963</v>
      </c>
      <c r="D180" t="inlineStr">
        <is>
          <t>ÖREBRO LÄN</t>
        </is>
      </c>
      <c r="E180" t="inlineStr">
        <is>
          <t>LEKEBERG</t>
        </is>
      </c>
      <c r="G180" t="n">
        <v>1.1</v>
      </c>
      <c r="H180" t="n">
        <v>0</v>
      </c>
      <c r="I180" t="n">
        <v>0</v>
      </c>
      <c r="J180" t="n">
        <v>0</v>
      </c>
      <c r="K180" t="n">
        <v>0</v>
      </c>
      <c r="L180" t="n">
        <v>0</v>
      </c>
      <c r="M180" t="n">
        <v>0</v>
      </c>
      <c r="N180" t="n">
        <v>0</v>
      </c>
      <c r="O180" t="n">
        <v>0</v>
      </c>
      <c r="P180" t="n">
        <v>0</v>
      </c>
      <c r="Q180" t="n">
        <v>0</v>
      </c>
      <c r="R180" s="2" t="inlineStr"/>
    </row>
    <row r="181" ht="15" customHeight="1">
      <c r="A181" t="inlineStr">
        <is>
          <t>A 12616-2025</t>
        </is>
      </c>
      <c r="B181" s="1" t="n">
        <v>45733</v>
      </c>
      <c r="C181" s="1" t="n">
        <v>45963</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41551-2024</t>
        </is>
      </c>
      <c r="B182" s="1" t="n">
        <v>45560</v>
      </c>
      <c r="C182" s="1" t="n">
        <v>45963</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6843-2024</t>
        </is>
      </c>
      <c r="B183" s="1" t="n">
        <v>45342.62711805556</v>
      </c>
      <c r="C183" s="1" t="n">
        <v>45963</v>
      </c>
      <c r="D183" t="inlineStr">
        <is>
          <t>ÖREBRO LÄN</t>
        </is>
      </c>
      <c r="E183" t="inlineStr">
        <is>
          <t>LEKEBERG</t>
        </is>
      </c>
      <c r="G183" t="n">
        <v>4.4</v>
      </c>
      <c r="H183" t="n">
        <v>0</v>
      </c>
      <c r="I183" t="n">
        <v>0</v>
      </c>
      <c r="J183" t="n">
        <v>0</v>
      </c>
      <c r="K183" t="n">
        <v>0</v>
      </c>
      <c r="L183" t="n">
        <v>0</v>
      </c>
      <c r="M183" t="n">
        <v>0</v>
      </c>
      <c r="N183" t="n">
        <v>0</v>
      </c>
      <c r="O183" t="n">
        <v>0</v>
      </c>
      <c r="P183" t="n">
        <v>0</v>
      </c>
      <c r="Q183" t="n">
        <v>0</v>
      </c>
      <c r="R183" s="2" t="inlineStr"/>
    </row>
    <row r="184" ht="15" customHeight="1">
      <c r="A184" t="inlineStr">
        <is>
          <t>A 6757-2021</t>
        </is>
      </c>
      <c r="B184" s="1" t="n">
        <v>44236</v>
      </c>
      <c r="C184" s="1" t="n">
        <v>45963</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41233-2024</t>
        </is>
      </c>
      <c r="B185" s="1" t="n">
        <v>45559</v>
      </c>
      <c r="C185" s="1" t="n">
        <v>45963</v>
      </c>
      <c r="D185" t="inlineStr">
        <is>
          <t>ÖREBRO LÄN</t>
        </is>
      </c>
      <c r="E185" t="inlineStr">
        <is>
          <t>LEKEBERG</t>
        </is>
      </c>
      <c r="G185" t="n">
        <v>0.6</v>
      </c>
      <c r="H185" t="n">
        <v>0</v>
      </c>
      <c r="I185" t="n">
        <v>0</v>
      </c>
      <c r="J185" t="n">
        <v>0</v>
      </c>
      <c r="K185" t="n">
        <v>0</v>
      </c>
      <c r="L185" t="n">
        <v>0</v>
      </c>
      <c r="M185" t="n">
        <v>0</v>
      </c>
      <c r="N185" t="n">
        <v>0</v>
      </c>
      <c r="O185" t="n">
        <v>0</v>
      </c>
      <c r="P185" t="n">
        <v>0</v>
      </c>
      <c r="Q185" t="n">
        <v>0</v>
      </c>
      <c r="R185" s="2" t="inlineStr"/>
    </row>
    <row r="186" ht="15" customHeight="1">
      <c r="A186" t="inlineStr">
        <is>
          <t>A 54227-2024</t>
        </is>
      </c>
      <c r="B186" s="1" t="n">
        <v>45616</v>
      </c>
      <c r="C186" s="1" t="n">
        <v>45963</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39872-2024</t>
        </is>
      </c>
      <c r="B187" s="1" t="n">
        <v>45553</v>
      </c>
      <c r="C187" s="1" t="n">
        <v>45963</v>
      </c>
      <c r="D187" t="inlineStr">
        <is>
          <t>ÖREBRO LÄN</t>
        </is>
      </c>
      <c r="E187" t="inlineStr">
        <is>
          <t>LEKEBERG</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18645-2023</t>
        </is>
      </c>
      <c r="B188" s="1" t="n">
        <v>45043</v>
      </c>
      <c r="C188" s="1" t="n">
        <v>45963</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29444-2024</t>
        </is>
      </c>
      <c r="B189" s="1" t="n">
        <v>45483.86464120371</v>
      </c>
      <c r="C189" s="1" t="n">
        <v>45963</v>
      </c>
      <c r="D189" t="inlineStr">
        <is>
          <t>ÖREBRO LÄN</t>
        </is>
      </c>
      <c r="E189" t="inlineStr">
        <is>
          <t>LEKEBERG</t>
        </is>
      </c>
      <c r="G189" t="n">
        <v>4</v>
      </c>
      <c r="H189" t="n">
        <v>0</v>
      </c>
      <c r="I189" t="n">
        <v>0</v>
      </c>
      <c r="J189" t="n">
        <v>0</v>
      </c>
      <c r="K189" t="n">
        <v>0</v>
      </c>
      <c r="L189" t="n">
        <v>0</v>
      </c>
      <c r="M189" t="n">
        <v>0</v>
      </c>
      <c r="N189" t="n">
        <v>0</v>
      </c>
      <c r="O189" t="n">
        <v>0</v>
      </c>
      <c r="P189" t="n">
        <v>0</v>
      </c>
      <c r="Q189" t="n">
        <v>0</v>
      </c>
      <c r="R189" s="2" t="inlineStr"/>
    </row>
    <row r="190" ht="15" customHeight="1">
      <c r="A190" t="inlineStr">
        <is>
          <t>A 10746-2023</t>
        </is>
      </c>
      <c r="B190" s="1" t="n">
        <v>44988</v>
      </c>
      <c r="C190" s="1" t="n">
        <v>45963</v>
      </c>
      <c r="D190" t="inlineStr">
        <is>
          <t>ÖREBRO LÄN</t>
        </is>
      </c>
      <c r="E190" t="inlineStr">
        <is>
          <t>LEKEBERG</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39873-2024</t>
        </is>
      </c>
      <c r="B191" s="1" t="n">
        <v>45553</v>
      </c>
      <c r="C191" s="1" t="n">
        <v>45963</v>
      </c>
      <c r="D191" t="inlineStr">
        <is>
          <t>ÖREBRO LÄN</t>
        </is>
      </c>
      <c r="E191" t="inlineStr">
        <is>
          <t>LEKEBERG</t>
        </is>
      </c>
      <c r="F191" t="inlineStr">
        <is>
          <t>Sveaskog</t>
        </is>
      </c>
      <c r="G191" t="n">
        <v>3.2</v>
      </c>
      <c r="H191" t="n">
        <v>0</v>
      </c>
      <c r="I191" t="n">
        <v>0</v>
      </c>
      <c r="J191" t="n">
        <v>0</v>
      </c>
      <c r="K191" t="n">
        <v>0</v>
      </c>
      <c r="L191" t="n">
        <v>0</v>
      </c>
      <c r="M191" t="n">
        <v>0</v>
      </c>
      <c r="N191" t="n">
        <v>0</v>
      </c>
      <c r="O191" t="n">
        <v>0</v>
      </c>
      <c r="P191" t="n">
        <v>0</v>
      </c>
      <c r="Q191" t="n">
        <v>0</v>
      </c>
      <c r="R191" s="2" t="inlineStr"/>
      <c r="U191">
        <f>HYPERLINK("https://klasma.github.io/Logging_1814/knärot/A 39873-2024 karta knärot.png", "A 39873-2024")</f>
        <v/>
      </c>
      <c r="V191">
        <f>HYPERLINK("https://klasma.github.io/Logging_1814/klagomål/A 39873-2024 FSC-klagomål.docx", "A 39873-2024")</f>
        <v/>
      </c>
      <c r="W191">
        <f>HYPERLINK("https://klasma.github.io/Logging_1814/klagomålsmail/A 39873-2024 FSC-klagomål mail.docx", "A 39873-2024")</f>
        <v/>
      </c>
      <c r="X191">
        <f>HYPERLINK("https://klasma.github.io/Logging_1814/tillsyn/A 39873-2024 tillsynsbegäran.docx", "A 39873-2024")</f>
        <v/>
      </c>
      <c r="Y191">
        <f>HYPERLINK("https://klasma.github.io/Logging_1814/tillsynsmail/A 39873-2024 tillsynsbegäran mail.docx", "A 39873-2024")</f>
        <v/>
      </c>
    </row>
    <row r="192" ht="15" customHeight="1">
      <c r="A192" t="inlineStr">
        <is>
          <t>A 4468-2022</t>
        </is>
      </c>
      <c r="B192" s="1" t="n">
        <v>44589</v>
      </c>
      <c r="C192" s="1" t="n">
        <v>45963</v>
      </c>
      <c r="D192" t="inlineStr">
        <is>
          <t>ÖREBRO LÄN</t>
        </is>
      </c>
      <c r="E192" t="inlineStr">
        <is>
          <t>LEKEBERG</t>
        </is>
      </c>
      <c r="G192" t="n">
        <v>4.8</v>
      </c>
      <c r="H192" t="n">
        <v>0</v>
      </c>
      <c r="I192" t="n">
        <v>0</v>
      </c>
      <c r="J192" t="n">
        <v>0</v>
      </c>
      <c r="K192" t="n">
        <v>0</v>
      </c>
      <c r="L192" t="n">
        <v>0</v>
      </c>
      <c r="M192" t="n">
        <v>0</v>
      </c>
      <c r="N192" t="n">
        <v>0</v>
      </c>
      <c r="O192" t="n">
        <v>0</v>
      </c>
      <c r="P192" t="n">
        <v>0</v>
      </c>
      <c r="Q192" t="n">
        <v>0</v>
      </c>
      <c r="R192" s="2" t="inlineStr"/>
    </row>
    <row r="193" ht="15" customHeight="1">
      <c r="A193" t="inlineStr">
        <is>
          <t>A 36444-2022</t>
        </is>
      </c>
      <c r="B193" s="1" t="n">
        <v>44804.38798611111</v>
      </c>
      <c r="C193" s="1" t="n">
        <v>45963</v>
      </c>
      <c r="D193" t="inlineStr">
        <is>
          <t>ÖREBRO LÄN</t>
        </is>
      </c>
      <c r="E193" t="inlineStr">
        <is>
          <t>LEKEBERG</t>
        </is>
      </c>
      <c r="G193" t="n">
        <v>2.7</v>
      </c>
      <c r="H193" t="n">
        <v>0</v>
      </c>
      <c r="I193" t="n">
        <v>0</v>
      </c>
      <c r="J193" t="n">
        <v>0</v>
      </c>
      <c r="K193" t="n">
        <v>0</v>
      </c>
      <c r="L193" t="n">
        <v>0</v>
      </c>
      <c r="M193" t="n">
        <v>0</v>
      </c>
      <c r="N193" t="n">
        <v>0</v>
      </c>
      <c r="O193" t="n">
        <v>0</v>
      </c>
      <c r="P193" t="n">
        <v>0</v>
      </c>
      <c r="Q193" t="n">
        <v>0</v>
      </c>
      <c r="R193" s="2" t="inlineStr"/>
    </row>
    <row r="194" ht="15" customHeight="1">
      <c r="A194" t="inlineStr">
        <is>
          <t>A 22198-2023</t>
        </is>
      </c>
      <c r="B194" s="1" t="n">
        <v>45069.78799768518</v>
      </c>
      <c r="C194" s="1" t="n">
        <v>45963</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38955-2023</t>
        </is>
      </c>
      <c r="B195" s="1" t="n">
        <v>45163</v>
      </c>
      <c r="C195" s="1" t="n">
        <v>45963</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37898-2025</t>
        </is>
      </c>
      <c r="B196" s="1" t="n">
        <v>45881.55846064815</v>
      </c>
      <c r="C196" s="1" t="n">
        <v>45963</v>
      </c>
      <c r="D196" t="inlineStr">
        <is>
          <t>ÖREBRO LÄN</t>
        </is>
      </c>
      <c r="E196" t="inlineStr">
        <is>
          <t>LEKEBERG</t>
        </is>
      </c>
      <c r="G196" t="n">
        <v>3.3</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45963</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11287-2025</t>
        </is>
      </c>
      <c r="B198" s="1" t="n">
        <v>45726.42666666667</v>
      </c>
      <c r="C198" s="1" t="n">
        <v>45963</v>
      </c>
      <c r="D198" t="inlineStr">
        <is>
          <t>ÖREBRO LÄN</t>
        </is>
      </c>
      <c r="E198" t="inlineStr">
        <is>
          <t>LEKEBERG</t>
        </is>
      </c>
      <c r="F198" t="inlineStr">
        <is>
          <t>Sveaskog</t>
        </is>
      </c>
      <c r="G198" t="n">
        <v>5.4</v>
      </c>
      <c r="H198" t="n">
        <v>0</v>
      </c>
      <c r="I198" t="n">
        <v>0</v>
      </c>
      <c r="J198" t="n">
        <v>0</v>
      </c>
      <c r="K198" t="n">
        <v>0</v>
      </c>
      <c r="L198" t="n">
        <v>0</v>
      </c>
      <c r="M198" t="n">
        <v>0</v>
      </c>
      <c r="N198" t="n">
        <v>0</v>
      </c>
      <c r="O198" t="n">
        <v>0</v>
      </c>
      <c r="P198" t="n">
        <v>0</v>
      </c>
      <c r="Q198" t="n">
        <v>0</v>
      </c>
      <c r="R198" s="2" t="inlineStr"/>
    </row>
    <row r="199" ht="15" customHeight="1">
      <c r="A199" t="inlineStr">
        <is>
          <t>A 46809-2025</t>
        </is>
      </c>
      <c r="B199" s="1" t="n">
        <v>45926.69324074074</v>
      </c>
      <c r="C199" s="1" t="n">
        <v>45963</v>
      </c>
      <c r="D199" t="inlineStr">
        <is>
          <t>ÖREBRO LÄN</t>
        </is>
      </c>
      <c r="E199" t="inlineStr">
        <is>
          <t>LEKEBERG</t>
        </is>
      </c>
      <c r="G199" t="n">
        <v>0.7</v>
      </c>
      <c r="H199" t="n">
        <v>0</v>
      </c>
      <c r="I199" t="n">
        <v>0</v>
      </c>
      <c r="J199" t="n">
        <v>0</v>
      </c>
      <c r="K199" t="n">
        <v>0</v>
      </c>
      <c r="L199" t="n">
        <v>0</v>
      </c>
      <c r="M199" t="n">
        <v>0</v>
      </c>
      <c r="N199" t="n">
        <v>0</v>
      </c>
      <c r="O199" t="n">
        <v>0</v>
      </c>
      <c r="P199" t="n">
        <v>0</v>
      </c>
      <c r="Q199" t="n">
        <v>0</v>
      </c>
      <c r="R199" s="2" t="inlineStr"/>
    </row>
    <row r="200" ht="15" customHeight="1">
      <c r="A200" t="inlineStr">
        <is>
          <t>A 38297-2025</t>
        </is>
      </c>
      <c r="B200" s="1" t="n">
        <v>45883.45506944445</v>
      </c>
      <c r="C200" s="1" t="n">
        <v>45963</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20344-2023</t>
        </is>
      </c>
      <c r="B201" s="1" t="n">
        <v>45056</v>
      </c>
      <c r="C201" s="1" t="n">
        <v>45963</v>
      </c>
      <c r="D201" t="inlineStr">
        <is>
          <t>ÖREBRO LÄN</t>
        </is>
      </c>
      <c r="E201" t="inlineStr">
        <is>
          <t>LEKEBERG</t>
        </is>
      </c>
      <c r="G201" t="n">
        <v>2.2</v>
      </c>
      <c r="H201" t="n">
        <v>0</v>
      </c>
      <c r="I201" t="n">
        <v>0</v>
      </c>
      <c r="J201" t="n">
        <v>0</v>
      </c>
      <c r="K201" t="n">
        <v>0</v>
      </c>
      <c r="L201" t="n">
        <v>0</v>
      </c>
      <c r="M201" t="n">
        <v>0</v>
      </c>
      <c r="N201" t="n">
        <v>0</v>
      </c>
      <c r="O201" t="n">
        <v>0</v>
      </c>
      <c r="P201" t="n">
        <v>0</v>
      </c>
      <c r="Q201" t="n">
        <v>0</v>
      </c>
      <c r="R201" s="2" t="inlineStr"/>
    </row>
    <row r="202" ht="15" customHeight="1">
      <c r="A202" t="inlineStr">
        <is>
          <t>A 39875-2024</t>
        </is>
      </c>
      <c r="B202" s="1" t="n">
        <v>45553</v>
      </c>
      <c r="C202" s="1" t="n">
        <v>45963</v>
      </c>
      <c r="D202" t="inlineStr">
        <is>
          <t>ÖREBRO LÄN</t>
        </is>
      </c>
      <c r="E202" t="inlineStr">
        <is>
          <t>LEKEBERG</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39878-2024</t>
        </is>
      </c>
      <c r="B203" s="1" t="n">
        <v>45553</v>
      </c>
      <c r="C203" s="1" t="n">
        <v>45963</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61314-2024</t>
        </is>
      </c>
      <c r="B204" s="1" t="n">
        <v>45646.31635416667</v>
      </c>
      <c r="C204" s="1" t="n">
        <v>45963</v>
      </c>
      <c r="D204" t="inlineStr">
        <is>
          <t>ÖREBRO LÄN</t>
        </is>
      </c>
      <c r="E204" t="inlineStr">
        <is>
          <t>LEKEBERG</t>
        </is>
      </c>
      <c r="G204" t="n">
        <v>1.9</v>
      </c>
      <c r="H204" t="n">
        <v>0</v>
      </c>
      <c r="I204" t="n">
        <v>0</v>
      </c>
      <c r="J204" t="n">
        <v>0</v>
      </c>
      <c r="K204" t="n">
        <v>0</v>
      </c>
      <c r="L204" t="n">
        <v>0</v>
      </c>
      <c r="M204" t="n">
        <v>0</v>
      </c>
      <c r="N204" t="n">
        <v>0</v>
      </c>
      <c r="O204" t="n">
        <v>0</v>
      </c>
      <c r="P204" t="n">
        <v>0</v>
      </c>
      <c r="Q204" t="n">
        <v>0</v>
      </c>
      <c r="R204" s="2" t="inlineStr"/>
    </row>
    <row r="205" ht="15" customHeight="1">
      <c r="A205" t="inlineStr">
        <is>
          <t>A 5559-2024</t>
        </is>
      </c>
      <c r="B205" s="1" t="n">
        <v>45334</v>
      </c>
      <c r="C205" s="1" t="n">
        <v>45963</v>
      </c>
      <c r="D205" t="inlineStr">
        <is>
          <t>ÖREBRO LÄN</t>
        </is>
      </c>
      <c r="E205" t="inlineStr">
        <is>
          <t>LEKEBERG</t>
        </is>
      </c>
      <c r="G205" t="n">
        <v>2.9</v>
      </c>
      <c r="H205" t="n">
        <v>0</v>
      </c>
      <c r="I205" t="n">
        <v>0</v>
      </c>
      <c r="J205" t="n">
        <v>0</v>
      </c>
      <c r="K205" t="n">
        <v>0</v>
      </c>
      <c r="L205" t="n">
        <v>0</v>
      </c>
      <c r="M205" t="n">
        <v>0</v>
      </c>
      <c r="N205" t="n">
        <v>0</v>
      </c>
      <c r="O205" t="n">
        <v>0</v>
      </c>
      <c r="P205" t="n">
        <v>0</v>
      </c>
      <c r="Q205" t="n">
        <v>0</v>
      </c>
      <c r="R205" s="2" t="inlineStr"/>
    </row>
    <row r="206" ht="15" customHeight="1">
      <c r="A206" t="inlineStr">
        <is>
          <t>A 5313-2024</t>
        </is>
      </c>
      <c r="B206" s="1" t="n">
        <v>45331.39503472222</v>
      </c>
      <c r="C206" s="1" t="n">
        <v>45963</v>
      </c>
      <c r="D206" t="inlineStr">
        <is>
          <t>ÖREBRO LÄN</t>
        </is>
      </c>
      <c r="E206" t="inlineStr">
        <is>
          <t>LEKEBERG</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48268-2021</t>
        </is>
      </c>
      <c r="B207" s="1" t="n">
        <v>44449.66981481481</v>
      </c>
      <c r="C207" s="1" t="n">
        <v>45963</v>
      </c>
      <c r="D207" t="inlineStr">
        <is>
          <t>ÖREBRO LÄN</t>
        </is>
      </c>
      <c r="E207" t="inlineStr">
        <is>
          <t>LEKEBERG</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3643-2023</t>
        </is>
      </c>
      <c r="B208" s="1" t="n">
        <v>44950.69260416667</v>
      </c>
      <c r="C208" s="1" t="n">
        <v>45963</v>
      </c>
      <c r="D208" t="inlineStr">
        <is>
          <t>ÖREBRO LÄN</t>
        </is>
      </c>
      <c r="E208" t="inlineStr">
        <is>
          <t>LEKEBERG</t>
        </is>
      </c>
      <c r="G208" t="n">
        <v>1.5</v>
      </c>
      <c r="H208" t="n">
        <v>0</v>
      </c>
      <c r="I208" t="n">
        <v>0</v>
      </c>
      <c r="J208" t="n">
        <v>0</v>
      </c>
      <c r="K208" t="n">
        <v>0</v>
      </c>
      <c r="L208" t="n">
        <v>0</v>
      </c>
      <c r="M208" t="n">
        <v>0</v>
      </c>
      <c r="N208" t="n">
        <v>0</v>
      </c>
      <c r="O208" t="n">
        <v>0</v>
      </c>
      <c r="P208" t="n">
        <v>0</v>
      </c>
      <c r="Q208" t="n">
        <v>0</v>
      </c>
      <c r="R208" s="2" t="inlineStr"/>
    </row>
    <row r="209" ht="15" customHeight="1">
      <c r="A209" t="inlineStr">
        <is>
          <t>A 41692-2025</t>
        </is>
      </c>
      <c r="B209" s="1" t="n">
        <v>45902.4041087963</v>
      </c>
      <c r="C209" s="1" t="n">
        <v>45963</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42197-2025</t>
        </is>
      </c>
      <c r="B210" s="1" t="n">
        <v>45904.48486111111</v>
      </c>
      <c r="C210" s="1" t="n">
        <v>45963</v>
      </c>
      <c r="D210" t="inlineStr">
        <is>
          <t>ÖREBRO LÄN</t>
        </is>
      </c>
      <c r="E210" t="inlineStr">
        <is>
          <t>LEKEBERG</t>
        </is>
      </c>
      <c r="G210" t="n">
        <v>1.5</v>
      </c>
      <c r="H210" t="n">
        <v>0</v>
      </c>
      <c r="I210" t="n">
        <v>0</v>
      </c>
      <c r="J210" t="n">
        <v>0</v>
      </c>
      <c r="K210" t="n">
        <v>0</v>
      </c>
      <c r="L210" t="n">
        <v>0</v>
      </c>
      <c r="M210" t="n">
        <v>0</v>
      </c>
      <c r="N210" t="n">
        <v>0</v>
      </c>
      <c r="O210" t="n">
        <v>0</v>
      </c>
      <c r="P210" t="n">
        <v>0</v>
      </c>
      <c r="Q210" t="n">
        <v>0</v>
      </c>
      <c r="R210" s="2" t="inlineStr"/>
    </row>
    <row r="211" ht="15" customHeight="1">
      <c r="A211" t="inlineStr">
        <is>
          <t>A 42295-2025</t>
        </is>
      </c>
      <c r="B211" s="1" t="n">
        <v>45904.63057870371</v>
      </c>
      <c r="C211" s="1" t="n">
        <v>45963</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43621-2025</t>
        </is>
      </c>
      <c r="B212" s="1" t="n">
        <v>45911.681875</v>
      </c>
      <c r="C212" s="1" t="n">
        <v>45963</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53407-2025</t>
        </is>
      </c>
      <c r="B213" s="1" t="n">
        <v>45959.57350694444</v>
      </c>
      <c r="C213" s="1" t="n">
        <v>45963</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c r="A214" t="inlineStr">
        <is>
          <t>A 39938-2025</t>
        </is>
      </c>
      <c r="B214" s="1" t="n">
        <v>45891</v>
      </c>
      <c r="C214" s="1" t="n">
        <v>45963</v>
      </c>
      <c r="D214" t="inlineStr">
        <is>
          <t>ÖREBRO LÄN</t>
        </is>
      </c>
      <c r="E214" t="inlineStr">
        <is>
          <t>LEKEBERG</t>
        </is>
      </c>
      <c r="G214" t="n">
        <v>1.1</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2025-11-02T10:06:22Z</dcterms:created>
  <dcterms:modified xmlns:dcterms="http://purl.org/dc/terms/" xmlns:xsi="http://www.w3.org/2001/XMLSchema-instance" xsi:type="dcterms:W3CDTF">2025-11-02T10:06:22Z</dcterms:modified>
</cp:coreProperties>
</file>