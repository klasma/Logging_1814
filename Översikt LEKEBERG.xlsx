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45928</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45928</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45928</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45928</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45928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19176-2025</t>
        </is>
      </c>
      <c r="B9" s="1" t="n">
        <v>45769</v>
      </c>
      <c r="C9" s="1" t="n">
        <v>45928</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45928</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28147-2022</t>
        </is>
      </c>
      <c r="B11" s="1" t="n">
        <v>44746</v>
      </c>
      <c r="C11" s="1" t="n">
        <v>45928</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44857-2025</t>
        </is>
      </c>
      <c r="B12" s="1" t="n">
        <v>45918.45165509259</v>
      </c>
      <c r="C12" s="1" t="n">
        <v>45928</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9690-2024</t>
        </is>
      </c>
      <c r="B13" s="1" t="n">
        <v>45362</v>
      </c>
      <c r="C13" s="1" t="n">
        <v>45928</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11637-2025</t>
        </is>
      </c>
      <c r="B14" s="1" t="n">
        <v>45727.46729166667</v>
      </c>
      <c r="C14" s="1" t="n">
        <v>45928</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290-2025</t>
        </is>
      </c>
      <c r="B15" s="1" t="n">
        <v>45656</v>
      </c>
      <c r="C15" s="1" t="n">
        <v>45928</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28821-2024</t>
        </is>
      </c>
      <c r="B16" s="1" t="n">
        <v>45478.65488425926</v>
      </c>
      <c r="C16" s="1" t="n">
        <v>45928</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22805-2025</t>
        </is>
      </c>
      <c r="B17" s="1" t="n">
        <v>45789</v>
      </c>
      <c r="C17" s="1" t="n">
        <v>45928</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45928</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10507-2025</t>
        </is>
      </c>
      <c r="B19" s="1" t="n">
        <v>45721.39129629629</v>
      </c>
      <c r="C19" s="1" t="n">
        <v>45928</v>
      </c>
      <c r="D19" t="inlineStr">
        <is>
          <t>ÖREBRO LÄN</t>
        </is>
      </c>
      <c r="E19" t="inlineStr">
        <is>
          <t>LEKEBERG</t>
        </is>
      </c>
      <c r="F19" t="inlineStr">
        <is>
          <t>Sveaskog</t>
        </is>
      </c>
      <c r="G19" t="n">
        <v>10.4</v>
      </c>
      <c r="H19" t="n">
        <v>1</v>
      </c>
      <c r="I19" t="n">
        <v>0</v>
      </c>
      <c r="J19" t="n">
        <v>0</v>
      </c>
      <c r="K19" t="n">
        <v>0</v>
      </c>
      <c r="L19" t="n">
        <v>0</v>
      </c>
      <c r="M19" t="n">
        <v>0</v>
      </c>
      <c r="N19" t="n">
        <v>0</v>
      </c>
      <c r="O19" t="n">
        <v>0</v>
      </c>
      <c r="P19" t="n">
        <v>0</v>
      </c>
      <c r="Q19" t="n">
        <v>1</v>
      </c>
      <c r="R19" s="2" t="inlineStr">
        <is>
          <t>Kungsfågel</t>
        </is>
      </c>
      <c r="S19">
        <f>HYPERLINK("https://klasma.github.io/Logging_1814/artfynd/A 10507-2025 artfynd.xlsx", "A 10507-2025")</f>
        <v/>
      </c>
      <c r="T19">
        <f>HYPERLINK("https://klasma.github.io/Logging_1814/kartor/A 10507-2025 karta.png", "A 10507-2025")</f>
        <v/>
      </c>
      <c r="V19">
        <f>HYPERLINK("https://klasma.github.io/Logging_1814/klagomål/A 10507-2025 FSC-klagomål.docx", "A 10507-2025")</f>
        <v/>
      </c>
      <c r="W19">
        <f>HYPERLINK("https://klasma.github.io/Logging_1814/klagomålsmail/A 10507-2025 FSC-klagomål mail.docx", "A 10507-2025")</f>
        <v/>
      </c>
      <c r="X19">
        <f>HYPERLINK("https://klasma.github.io/Logging_1814/tillsyn/A 10507-2025 tillsynsbegäran.docx", "A 10507-2025")</f>
        <v/>
      </c>
      <c r="Y19">
        <f>HYPERLINK("https://klasma.github.io/Logging_1814/tillsynsmail/A 10507-2025 tillsynsbegäran mail.docx", "A 10507-2025")</f>
        <v/>
      </c>
      <c r="Z19">
        <f>HYPERLINK("https://klasma.github.io/Logging_1814/fåglar/A 10507-2025 prioriterade fågelarter.docx", "A 10507-2025")</f>
        <v/>
      </c>
    </row>
    <row r="20" ht="15" customHeight="1">
      <c r="A20" t="inlineStr">
        <is>
          <t>A 14365-2021</t>
        </is>
      </c>
      <c r="B20" s="1" t="n">
        <v>44279</v>
      </c>
      <c r="C20" s="1" t="n">
        <v>45928</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45928</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45928</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45928</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45928</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45928</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45928</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45928</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45928</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45928</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45928</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45928</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45928</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45928</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45928</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45928</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45928</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45928</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45928</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45928</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45928</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45928</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45928</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45928</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45928</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45928</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45928</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57257-2020</t>
        </is>
      </c>
      <c r="B49" s="1" t="n">
        <v>44139</v>
      </c>
      <c r="C49" s="1" t="n">
        <v>45928</v>
      </c>
      <c r="D49" t="inlineStr">
        <is>
          <t>ÖREBRO LÄN</t>
        </is>
      </c>
      <c r="E49" t="inlineStr">
        <is>
          <t>LEKEBERG</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45928</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45928</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45928</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45928</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45928</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45928</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45928</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45928</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45928</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44343-2022</t>
        </is>
      </c>
      <c r="B59" s="1" t="n">
        <v>44839.67604166667</v>
      </c>
      <c r="C59" s="1" t="n">
        <v>45928</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56635-2022</t>
        </is>
      </c>
      <c r="B60" s="1" t="n">
        <v>44893</v>
      </c>
      <c r="C60" s="1" t="n">
        <v>45928</v>
      </c>
      <c r="D60" t="inlineStr">
        <is>
          <t>ÖREBRO LÄN</t>
        </is>
      </c>
      <c r="E60" t="inlineStr">
        <is>
          <t>LEKEBERG</t>
        </is>
      </c>
      <c r="G60" t="n">
        <v>3</v>
      </c>
      <c r="H60" t="n">
        <v>0</v>
      </c>
      <c r="I60" t="n">
        <v>0</v>
      </c>
      <c r="J60" t="n">
        <v>0</v>
      </c>
      <c r="K60" t="n">
        <v>0</v>
      </c>
      <c r="L60" t="n">
        <v>0</v>
      </c>
      <c r="M60" t="n">
        <v>0</v>
      </c>
      <c r="N60" t="n">
        <v>0</v>
      </c>
      <c r="O60" t="n">
        <v>0</v>
      </c>
      <c r="P60" t="n">
        <v>0</v>
      </c>
      <c r="Q60" t="n">
        <v>0</v>
      </c>
      <c r="R60" s="2" t="inlineStr"/>
    </row>
    <row r="61" ht="15" customHeight="1">
      <c r="A61" t="inlineStr">
        <is>
          <t>A 39872-2024</t>
        </is>
      </c>
      <c r="B61" s="1" t="n">
        <v>45553</v>
      </c>
      <c r="C61" s="1" t="n">
        <v>45928</v>
      </c>
      <c r="D61" t="inlineStr">
        <is>
          <t>ÖREBRO LÄN</t>
        </is>
      </c>
      <c r="E61" t="inlineStr">
        <is>
          <t>LEKEBERG</t>
        </is>
      </c>
      <c r="F61" t="inlineStr">
        <is>
          <t>Sveaskog</t>
        </is>
      </c>
      <c r="G61" t="n">
        <v>1.7</v>
      </c>
      <c r="H61" t="n">
        <v>0</v>
      </c>
      <c r="I61" t="n">
        <v>0</v>
      </c>
      <c r="J61" t="n">
        <v>0</v>
      </c>
      <c r="K61" t="n">
        <v>0</v>
      </c>
      <c r="L61" t="n">
        <v>0</v>
      </c>
      <c r="M61" t="n">
        <v>0</v>
      </c>
      <c r="N61" t="n">
        <v>0</v>
      </c>
      <c r="O61" t="n">
        <v>0</v>
      </c>
      <c r="P61" t="n">
        <v>0</v>
      </c>
      <c r="Q61" t="n">
        <v>0</v>
      </c>
      <c r="R61" s="2" t="inlineStr"/>
    </row>
    <row r="62" ht="15" customHeight="1">
      <c r="A62" t="inlineStr">
        <is>
          <t>A 26702-2023</t>
        </is>
      </c>
      <c r="B62" s="1" t="n">
        <v>45093</v>
      </c>
      <c r="C62" s="1" t="n">
        <v>45928</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62678-2020</t>
        </is>
      </c>
      <c r="B63" s="1" t="n">
        <v>44161</v>
      </c>
      <c r="C63" s="1" t="n">
        <v>45928</v>
      </c>
      <c r="D63" t="inlineStr">
        <is>
          <t>ÖREBRO LÄN</t>
        </is>
      </c>
      <c r="E63" t="inlineStr">
        <is>
          <t>LEKEBERG</t>
        </is>
      </c>
      <c r="G63" t="n">
        <v>1.8</v>
      </c>
      <c r="H63" t="n">
        <v>0</v>
      </c>
      <c r="I63" t="n">
        <v>0</v>
      </c>
      <c r="J63" t="n">
        <v>0</v>
      </c>
      <c r="K63" t="n">
        <v>0</v>
      </c>
      <c r="L63" t="n">
        <v>0</v>
      </c>
      <c r="M63" t="n">
        <v>0</v>
      </c>
      <c r="N63" t="n">
        <v>0</v>
      </c>
      <c r="O63" t="n">
        <v>0</v>
      </c>
      <c r="P63" t="n">
        <v>0</v>
      </c>
      <c r="Q63" t="n">
        <v>0</v>
      </c>
      <c r="R63" s="2" t="inlineStr"/>
    </row>
    <row r="64" ht="15" customHeight="1">
      <c r="A64" t="inlineStr">
        <is>
          <t>A 46400-2021</t>
        </is>
      </c>
      <c r="B64" s="1" t="n">
        <v>44443.7766550926</v>
      </c>
      <c r="C64" s="1" t="n">
        <v>45928</v>
      </c>
      <c r="D64" t="inlineStr">
        <is>
          <t>ÖREBRO LÄN</t>
        </is>
      </c>
      <c r="E64" t="inlineStr">
        <is>
          <t>LEKEBERG</t>
        </is>
      </c>
      <c r="G64" t="n">
        <v>0.5</v>
      </c>
      <c r="H64" t="n">
        <v>0</v>
      </c>
      <c r="I64" t="n">
        <v>0</v>
      </c>
      <c r="J64" t="n">
        <v>0</v>
      </c>
      <c r="K64" t="n">
        <v>0</v>
      </c>
      <c r="L64" t="n">
        <v>0</v>
      </c>
      <c r="M64" t="n">
        <v>0</v>
      </c>
      <c r="N64" t="n">
        <v>0</v>
      </c>
      <c r="O64" t="n">
        <v>0</v>
      </c>
      <c r="P64" t="n">
        <v>0</v>
      </c>
      <c r="Q64" t="n">
        <v>0</v>
      </c>
      <c r="R64" s="2" t="inlineStr"/>
    </row>
    <row r="65" ht="15" customHeight="1">
      <c r="A65" t="inlineStr">
        <is>
          <t>A 40329-2024</t>
        </is>
      </c>
      <c r="B65" s="1" t="n">
        <v>45555</v>
      </c>
      <c r="C65" s="1" t="n">
        <v>45928</v>
      </c>
      <c r="D65" t="inlineStr">
        <is>
          <t>ÖREBRO LÄN</t>
        </is>
      </c>
      <c r="E65" t="inlineStr">
        <is>
          <t>LEKEBERG</t>
        </is>
      </c>
      <c r="G65" t="n">
        <v>1.2</v>
      </c>
      <c r="H65" t="n">
        <v>0</v>
      </c>
      <c r="I65" t="n">
        <v>0</v>
      </c>
      <c r="J65" t="n">
        <v>0</v>
      </c>
      <c r="K65" t="n">
        <v>0</v>
      </c>
      <c r="L65" t="n">
        <v>0</v>
      </c>
      <c r="M65" t="n">
        <v>0</v>
      </c>
      <c r="N65" t="n">
        <v>0</v>
      </c>
      <c r="O65" t="n">
        <v>0</v>
      </c>
      <c r="P65" t="n">
        <v>0</v>
      </c>
      <c r="Q65" t="n">
        <v>0</v>
      </c>
      <c r="R65" s="2" t="inlineStr"/>
    </row>
    <row r="66" ht="15" customHeight="1">
      <c r="A66" t="inlineStr">
        <is>
          <t>A 11287-2025</t>
        </is>
      </c>
      <c r="B66" s="1" t="n">
        <v>45726.42666666667</v>
      </c>
      <c r="C66" s="1" t="n">
        <v>45928</v>
      </c>
      <c r="D66" t="inlineStr">
        <is>
          <t>ÖREBRO LÄN</t>
        </is>
      </c>
      <c r="E66" t="inlineStr">
        <is>
          <t>LEKEBERG</t>
        </is>
      </c>
      <c r="F66" t="inlineStr">
        <is>
          <t>Sveaskog</t>
        </is>
      </c>
      <c r="G66" t="n">
        <v>5.4</v>
      </c>
      <c r="H66" t="n">
        <v>0</v>
      </c>
      <c r="I66" t="n">
        <v>0</v>
      </c>
      <c r="J66" t="n">
        <v>0</v>
      </c>
      <c r="K66" t="n">
        <v>0</v>
      </c>
      <c r="L66" t="n">
        <v>0</v>
      </c>
      <c r="M66" t="n">
        <v>0</v>
      </c>
      <c r="N66" t="n">
        <v>0</v>
      </c>
      <c r="O66" t="n">
        <v>0</v>
      </c>
      <c r="P66" t="n">
        <v>0</v>
      </c>
      <c r="Q66" t="n">
        <v>0</v>
      </c>
      <c r="R66" s="2" t="inlineStr"/>
    </row>
    <row r="67" ht="15" customHeight="1">
      <c r="A67" t="inlineStr">
        <is>
          <t>A 11676-2024</t>
        </is>
      </c>
      <c r="B67" s="1" t="n">
        <v>45373.57236111111</v>
      </c>
      <c r="C67" s="1" t="n">
        <v>45928</v>
      </c>
      <c r="D67" t="inlineStr">
        <is>
          <t>ÖREBRO LÄN</t>
        </is>
      </c>
      <c r="E67" t="inlineStr">
        <is>
          <t>LEKEBERG</t>
        </is>
      </c>
      <c r="G67" t="n">
        <v>0.3</v>
      </c>
      <c r="H67" t="n">
        <v>0</v>
      </c>
      <c r="I67" t="n">
        <v>0</v>
      </c>
      <c r="J67" t="n">
        <v>0</v>
      </c>
      <c r="K67" t="n">
        <v>0</v>
      </c>
      <c r="L67" t="n">
        <v>0</v>
      </c>
      <c r="M67" t="n">
        <v>0</v>
      </c>
      <c r="N67" t="n">
        <v>0</v>
      </c>
      <c r="O67" t="n">
        <v>0</v>
      </c>
      <c r="P67" t="n">
        <v>0</v>
      </c>
      <c r="Q67" t="n">
        <v>0</v>
      </c>
      <c r="R67" s="2" t="inlineStr"/>
    </row>
    <row r="68" ht="15" customHeight="1">
      <c r="A68" t="inlineStr">
        <is>
          <t>A 21042-2023</t>
        </is>
      </c>
      <c r="B68" s="1" t="n">
        <v>45056</v>
      </c>
      <c r="C68" s="1" t="n">
        <v>45928</v>
      </c>
      <c r="D68" t="inlineStr">
        <is>
          <t>ÖREBRO LÄN</t>
        </is>
      </c>
      <c r="E68" t="inlineStr">
        <is>
          <t>LEKEBERG</t>
        </is>
      </c>
      <c r="G68" t="n">
        <v>1</v>
      </c>
      <c r="H68" t="n">
        <v>0</v>
      </c>
      <c r="I68" t="n">
        <v>0</v>
      </c>
      <c r="J68" t="n">
        <v>0</v>
      </c>
      <c r="K68" t="n">
        <v>0</v>
      </c>
      <c r="L68" t="n">
        <v>0</v>
      </c>
      <c r="M68" t="n">
        <v>0</v>
      </c>
      <c r="N68" t="n">
        <v>0</v>
      </c>
      <c r="O68" t="n">
        <v>0</v>
      </c>
      <c r="P68" t="n">
        <v>0</v>
      </c>
      <c r="Q68" t="n">
        <v>0</v>
      </c>
      <c r="R68" s="2" t="inlineStr"/>
    </row>
    <row r="69" ht="15" customHeight="1">
      <c r="A69" t="inlineStr">
        <is>
          <t>A 37450-2024</t>
        </is>
      </c>
      <c r="B69" s="1" t="n">
        <v>45540.68736111111</v>
      </c>
      <c r="C69" s="1" t="n">
        <v>45928</v>
      </c>
      <c r="D69" t="inlineStr">
        <is>
          <t>ÖREBRO LÄN</t>
        </is>
      </c>
      <c r="E69" t="inlineStr">
        <is>
          <t>LEKEBERG</t>
        </is>
      </c>
      <c r="G69" t="n">
        <v>3.4</v>
      </c>
      <c r="H69" t="n">
        <v>0</v>
      </c>
      <c r="I69" t="n">
        <v>0</v>
      </c>
      <c r="J69" t="n">
        <v>0</v>
      </c>
      <c r="K69" t="n">
        <v>0</v>
      </c>
      <c r="L69" t="n">
        <v>0</v>
      </c>
      <c r="M69" t="n">
        <v>0</v>
      </c>
      <c r="N69" t="n">
        <v>0</v>
      </c>
      <c r="O69" t="n">
        <v>0</v>
      </c>
      <c r="P69" t="n">
        <v>0</v>
      </c>
      <c r="Q69" t="n">
        <v>0</v>
      </c>
      <c r="R69" s="2" t="inlineStr"/>
    </row>
    <row r="70" ht="15" customHeight="1">
      <c r="A70" t="inlineStr">
        <is>
          <t>A 14353-2024</t>
        </is>
      </c>
      <c r="B70" s="1" t="n">
        <v>45393.83645833333</v>
      </c>
      <c r="C70" s="1" t="n">
        <v>45928</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33907-2024</t>
        </is>
      </c>
      <c r="B71" s="1" t="n">
        <v>45523.37623842592</v>
      </c>
      <c r="C71" s="1" t="n">
        <v>45928</v>
      </c>
      <c r="D71" t="inlineStr">
        <is>
          <t>ÖREBRO LÄN</t>
        </is>
      </c>
      <c r="E71" t="inlineStr">
        <is>
          <t>LEKEBERG</t>
        </is>
      </c>
      <c r="G71" t="n">
        <v>3.3</v>
      </c>
      <c r="H71" t="n">
        <v>0</v>
      </c>
      <c r="I71" t="n">
        <v>0</v>
      </c>
      <c r="J71" t="n">
        <v>0</v>
      </c>
      <c r="K71" t="n">
        <v>0</v>
      </c>
      <c r="L71" t="n">
        <v>0</v>
      </c>
      <c r="M71" t="n">
        <v>0</v>
      </c>
      <c r="N71" t="n">
        <v>0</v>
      </c>
      <c r="O71" t="n">
        <v>0</v>
      </c>
      <c r="P71" t="n">
        <v>0</v>
      </c>
      <c r="Q71" t="n">
        <v>0</v>
      </c>
      <c r="R71" s="2" t="inlineStr"/>
    </row>
    <row r="72" ht="15" customHeight="1">
      <c r="A72" t="inlineStr">
        <is>
          <t>A 33910-2024</t>
        </is>
      </c>
      <c r="B72" s="1" t="n">
        <v>45523.38473379629</v>
      </c>
      <c r="C72" s="1" t="n">
        <v>45928</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58935-2023</t>
        </is>
      </c>
      <c r="B73" s="1" t="n">
        <v>45250</v>
      </c>
      <c r="C73" s="1" t="n">
        <v>45928</v>
      </c>
      <c r="D73" t="inlineStr">
        <is>
          <t>ÖREBRO LÄN</t>
        </is>
      </c>
      <c r="E73" t="inlineStr">
        <is>
          <t>LEKEBERG</t>
        </is>
      </c>
      <c r="G73" t="n">
        <v>2.2</v>
      </c>
      <c r="H73" t="n">
        <v>0</v>
      </c>
      <c r="I73" t="n">
        <v>0</v>
      </c>
      <c r="J73" t="n">
        <v>0</v>
      </c>
      <c r="K73" t="n">
        <v>0</v>
      </c>
      <c r="L73" t="n">
        <v>0</v>
      </c>
      <c r="M73" t="n">
        <v>0</v>
      </c>
      <c r="N73" t="n">
        <v>0</v>
      </c>
      <c r="O73" t="n">
        <v>0</v>
      </c>
      <c r="P73" t="n">
        <v>0</v>
      </c>
      <c r="Q73" t="n">
        <v>0</v>
      </c>
      <c r="R73" s="2" t="inlineStr"/>
    </row>
    <row r="74" ht="15" customHeight="1">
      <c r="A74" t="inlineStr">
        <is>
          <t>A 14734-2024</t>
        </is>
      </c>
      <c r="B74" s="1" t="n">
        <v>45397.5890625</v>
      </c>
      <c r="C74" s="1" t="n">
        <v>45928</v>
      </c>
      <c r="D74" t="inlineStr">
        <is>
          <t>ÖREBRO LÄN</t>
        </is>
      </c>
      <c r="E74" t="inlineStr">
        <is>
          <t>LEKEBERG</t>
        </is>
      </c>
      <c r="G74" t="n">
        <v>1.2</v>
      </c>
      <c r="H74" t="n">
        <v>0</v>
      </c>
      <c r="I74" t="n">
        <v>0</v>
      </c>
      <c r="J74" t="n">
        <v>0</v>
      </c>
      <c r="K74" t="n">
        <v>0</v>
      </c>
      <c r="L74" t="n">
        <v>0</v>
      </c>
      <c r="M74" t="n">
        <v>0</v>
      </c>
      <c r="N74" t="n">
        <v>0</v>
      </c>
      <c r="O74" t="n">
        <v>0</v>
      </c>
      <c r="P74" t="n">
        <v>0</v>
      </c>
      <c r="Q74" t="n">
        <v>0</v>
      </c>
      <c r="R74" s="2" t="inlineStr"/>
    </row>
    <row r="75" ht="15" customHeight="1">
      <c r="A75" t="inlineStr">
        <is>
          <t>A 37491-2021</t>
        </is>
      </c>
      <c r="B75" s="1" t="n">
        <v>44399.29892361111</v>
      </c>
      <c r="C75" s="1" t="n">
        <v>45928</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41692-2025</t>
        </is>
      </c>
      <c r="B76" s="1" t="n">
        <v>45902.4041087963</v>
      </c>
      <c r="C76" s="1" t="n">
        <v>45928</v>
      </c>
      <c r="D76" t="inlineStr">
        <is>
          <t>ÖREBRO LÄN</t>
        </is>
      </c>
      <c r="E76" t="inlineStr">
        <is>
          <t>LEKEBERG</t>
        </is>
      </c>
      <c r="G76" t="n">
        <v>1.1</v>
      </c>
      <c r="H76" t="n">
        <v>0</v>
      </c>
      <c r="I76" t="n">
        <v>0</v>
      </c>
      <c r="J76" t="n">
        <v>0</v>
      </c>
      <c r="K76" t="n">
        <v>0</v>
      </c>
      <c r="L76" t="n">
        <v>0</v>
      </c>
      <c r="M76" t="n">
        <v>0</v>
      </c>
      <c r="N76" t="n">
        <v>0</v>
      </c>
      <c r="O76" t="n">
        <v>0</v>
      </c>
      <c r="P76" t="n">
        <v>0</v>
      </c>
      <c r="Q76" t="n">
        <v>0</v>
      </c>
      <c r="R76" s="2" t="inlineStr"/>
    </row>
    <row r="77" ht="15" customHeight="1">
      <c r="A77" t="inlineStr">
        <is>
          <t>A 5373-2024</t>
        </is>
      </c>
      <c r="B77" s="1" t="n">
        <v>45331</v>
      </c>
      <c r="C77" s="1" t="n">
        <v>45928</v>
      </c>
      <c r="D77" t="inlineStr">
        <is>
          <t>ÖREBRO LÄN</t>
        </is>
      </c>
      <c r="E77" t="inlineStr">
        <is>
          <t>LEKEBERG</t>
        </is>
      </c>
      <c r="G77" t="n">
        <v>5.8</v>
      </c>
      <c r="H77" t="n">
        <v>0</v>
      </c>
      <c r="I77" t="n">
        <v>0</v>
      </c>
      <c r="J77" t="n">
        <v>0</v>
      </c>
      <c r="K77" t="n">
        <v>0</v>
      </c>
      <c r="L77" t="n">
        <v>0</v>
      </c>
      <c r="M77" t="n">
        <v>0</v>
      </c>
      <c r="N77" t="n">
        <v>0</v>
      </c>
      <c r="O77" t="n">
        <v>0</v>
      </c>
      <c r="P77" t="n">
        <v>0</v>
      </c>
      <c r="Q77" t="n">
        <v>0</v>
      </c>
      <c r="R77" s="2" t="inlineStr"/>
    </row>
    <row r="78" ht="15" customHeight="1">
      <c r="A78" t="inlineStr">
        <is>
          <t>A 42295-2025</t>
        </is>
      </c>
      <c r="B78" s="1" t="n">
        <v>45904.63057870371</v>
      </c>
      <c r="C78" s="1" t="n">
        <v>45928</v>
      </c>
      <c r="D78" t="inlineStr">
        <is>
          <t>ÖREBRO LÄN</t>
        </is>
      </c>
      <c r="E78" t="inlineStr">
        <is>
          <t>LEKEBERG</t>
        </is>
      </c>
      <c r="G78" t="n">
        <v>3.7</v>
      </c>
      <c r="H78" t="n">
        <v>0</v>
      </c>
      <c r="I78" t="n">
        <v>0</v>
      </c>
      <c r="J78" t="n">
        <v>0</v>
      </c>
      <c r="K78" t="n">
        <v>0</v>
      </c>
      <c r="L78" t="n">
        <v>0</v>
      </c>
      <c r="M78" t="n">
        <v>0</v>
      </c>
      <c r="N78" t="n">
        <v>0</v>
      </c>
      <c r="O78" t="n">
        <v>0</v>
      </c>
      <c r="P78" t="n">
        <v>0</v>
      </c>
      <c r="Q78" t="n">
        <v>0</v>
      </c>
      <c r="R78" s="2" t="inlineStr"/>
    </row>
    <row r="79" ht="15" customHeight="1">
      <c r="A79" t="inlineStr">
        <is>
          <t>A 42197-2025</t>
        </is>
      </c>
      <c r="B79" s="1" t="n">
        <v>45904.48486111111</v>
      </c>
      <c r="C79" s="1" t="n">
        <v>45928</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12140-2023</t>
        </is>
      </c>
      <c r="B80" s="1" t="n">
        <v>44998.46677083334</v>
      </c>
      <c r="C80" s="1" t="n">
        <v>45928</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22323-2023</t>
        </is>
      </c>
      <c r="B81" s="1" t="n">
        <v>45068</v>
      </c>
      <c r="C81" s="1" t="n">
        <v>45928</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20787-2022</t>
        </is>
      </c>
      <c r="B82" s="1" t="n">
        <v>44701</v>
      </c>
      <c r="C82" s="1" t="n">
        <v>45928</v>
      </c>
      <c r="D82" t="inlineStr">
        <is>
          <t>ÖREBRO LÄN</t>
        </is>
      </c>
      <c r="E82" t="inlineStr">
        <is>
          <t>LEKEBERG</t>
        </is>
      </c>
      <c r="G82" t="n">
        <v>1</v>
      </c>
      <c r="H82" t="n">
        <v>0</v>
      </c>
      <c r="I82" t="n">
        <v>0</v>
      </c>
      <c r="J82" t="n">
        <v>0</v>
      </c>
      <c r="K82" t="n">
        <v>0</v>
      </c>
      <c r="L82" t="n">
        <v>0</v>
      </c>
      <c r="M82" t="n">
        <v>0</v>
      </c>
      <c r="N82" t="n">
        <v>0</v>
      </c>
      <c r="O82" t="n">
        <v>0</v>
      </c>
      <c r="P82" t="n">
        <v>0</v>
      </c>
      <c r="Q82" t="n">
        <v>0</v>
      </c>
      <c r="R82" s="2" t="inlineStr"/>
    </row>
    <row r="83" ht="15" customHeight="1">
      <c r="A83" t="inlineStr">
        <is>
          <t>A 33259-2023</t>
        </is>
      </c>
      <c r="B83" s="1" t="n">
        <v>45127.56025462963</v>
      </c>
      <c r="C83" s="1" t="n">
        <v>45928</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4468-2022</t>
        </is>
      </c>
      <c r="B84" s="1" t="n">
        <v>44589</v>
      </c>
      <c r="C84" s="1" t="n">
        <v>45928</v>
      </c>
      <c r="D84" t="inlineStr">
        <is>
          <t>ÖREBRO LÄN</t>
        </is>
      </c>
      <c r="E84" t="inlineStr">
        <is>
          <t>LEKEBERG</t>
        </is>
      </c>
      <c r="G84" t="n">
        <v>4.8</v>
      </c>
      <c r="H84" t="n">
        <v>0</v>
      </c>
      <c r="I84" t="n">
        <v>0</v>
      </c>
      <c r="J84" t="n">
        <v>0</v>
      </c>
      <c r="K84" t="n">
        <v>0</v>
      </c>
      <c r="L84" t="n">
        <v>0</v>
      </c>
      <c r="M84" t="n">
        <v>0</v>
      </c>
      <c r="N84" t="n">
        <v>0</v>
      </c>
      <c r="O84" t="n">
        <v>0</v>
      </c>
      <c r="P84" t="n">
        <v>0</v>
      </c>
      <c r="Q84" t="n">
        <v>0</v>
      </c>
      <c r="R84" s="2" t="inlineStr"/>
    </row>
    <row r="85" ht="15" customHeight="1">
      <c r="A85" t="inlineStr">
        <is>
          <t>A 3602-2023</t>
        </is>
      </c>
      <c r="B85" s="1" t="n">
        <v>44950.58821759259</v>
      </c>
      <c r="C85" s="1" t="n">
        <v>45928</v>
      </c>
      <c r="D85" t="inlineStr">
        <is>
          <t>ÖREBRO LÄN</t>
        </is>
      </c>
      <c r="E85" t="inlineStr">
        <is>
          <t>LEKEBERG</t>
        </is>
      </c>
      <c r="G85" t="n">
        <v>2.6</v>
      </c>
      <c r="H85" t="n">
        <v>0</v>
      </c>
      <c r="I85" t="n">
        <v>0</v>
      </c>
      <c r="J85" t="n">
        <v>0</v>
      </c>
      <c r="K85" t="n">
        <v>0</v>
      </c>
      <c r="L85" t="n">
        <v>0</v>
      </c>
      <c r="M85" t="n">
        <v>0</v>
      </c>
      <c r="N85" t="n">
        <v>0</v>
      </c>
      <c r="O85" t="n">
        <v>0</v>
      </c>
      <c r="P85" t="n">
        <v>0</v>
      </c>
      <c r="Q85" t="n">
        <v>0</v>
      </c>
      <c r="R85" s="2" t="inlineStr"/>
    </row>
    <row r="86" ht="15" customHeight="1">
      <c r="A86" t="inlineStr">
        <is>
          <t>A 61644-2023</t>
        </is>
      </c>
      <c r="B86" s="1" t="n">
        <v>45263</v>
      </c>
      <c r="C86" s="1" t="n">
        <v>45928</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41008-2024</t>
        </is>
      </c>
      <c r="B87" s="1" t="n">
        <v>45559</v>
      </c>
      <c r="C87" s="1" t="n">
        <v>45928</v>
      </c>
      <c r="D87" t="inlineStr">
        <is>
          <t>ÖREBRO LÄN</t>
        </is>
      </c>
      <c r="E87" t="inlineStr">
        <is>
          <t>LEKEBERG</t>
        </is>
      </c>
      <c r="G87" t="n">
        <v>2.6</v>
      </c>
      <c r="H87" t="n">
        <v>0</v>
      </c>
      <c r="I87" t="n">
        <v>0</v>
      </c>
      <c r="J87" t="n">
        <v>0</v>
      </c>
      <c r="K87" t="n">
        <v>0</v>
      </c>
      <c r="L87" t="n">
        <v>0</v>
      </c>
      <c r="M87" t="n">
        <v>0</v>
      </c>
      <c r="N87" t="n">
        <v>0</v>
      </c>
      <c r="O87" t="n">
        <v>0</v>
      </c>
      <c r="P87" t="n">
        <v>0</v>
      </c>
      <c r="Q87" t="n">
        <v>0</v>
      </c>
      <c r="R87" s="2" t="inlineStr"/>
    </row>
    <row r="88" ht="15" customHeight="1">
      <c r="A88" t="inlineStr">
        <is>
          <t>A 30747-2023</t>
        </is>
      </c>
      <c r="B88" s="1" t="n">
        <v>45112</v>
      </c>
      <c r="C88" s="1" t="n">
        <v>45928</v>
      </c>
      <c r="D88" t="inlineStr">
        <is>
          <t>ÖREBRO LÄN</t>
        </is>
      </c>
      <c r="E88" t="inlineStr">
        <is>
          <t>LEKEBERG</t>
        </is>
      </c>
      <c r="F88" t="inlineStr">
        <is>
          <t>Allmännings- och besparingsskogar</t>
        </is>
      </c>
      <c r="G88" t="n">
        <v>3.8</v>
      </c>
      <c r="H88" t="n">
        <v>0</v>
      </c>
      <c r="I88" t="n">
        <v>0</v>
      </c>
      <c r="J88" t="n">
        <v>0</v>
      </c>
      <c r="K88" t="n">
        <v>0</v>
      </c>
      <c r="L88" t="n">
        <v>0</v>
      </c>
      <c r="M88" t="n">
        <v>0</v>
      </c>
      <c r="N88" t="n">
        <v>0</v>
      </c>
      <c r="O88" t="n">
        <v>0</v>
      </c>
      <c r="P88" t="n">
        <v>0</v>
      </c>
      <c r="Q88" t="n">
        <v>0</v>
      </c>
      <c r="R88" s="2" t="inlineStr"/>
    </row>
    <row r="89" ht="15" customHeight="1">
      <c r="A89" t="inlineStr">
        <is>
          <t>A 30802-2023</t>
        </is>
      </c>
      <c r="B89" s="1" t="n">
        <v>45112</v>
      </c>
      <c r="C89" s="1" t="n">
        <v>45928</v>
      </c>
      <c r="D89" t="inlineStr">
        <is>
          <t>ÖREBRO LÄN</t>
        </is>
      </c>
      <c r="E89" t="inlineStr">
        <is>
          <t>LEKEBERG</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11794-2023</t>
        </is>
      </c>
      <c r="B90" s="1" t="n">
        <v>44994</v>
      </c>
      <c r="C90" s="1" t="n">
        <v>45928</v>
      </c>
      <c r="D90" t="inlineStr">
        <is>
          <t>ÖREBRO LÄN</t>
        </is>
      </c>
      <c r="E90" t="inlineStr">
        <is>
          <t>LEKEBERG</t>
        </is>
      </c>
      <c r="G90" t="n">
        <v>7.6</v>
      </c>
      <c r="H90" t="n">
        <v>0</v>
      </c>
      <c r="I90" t="n">
        <v>0</v>
      </c>
      <c r="J90" t="n">
        <v>0</v>
      </c>
      <c r="K90" t="n">
        <v>0</v>
      </c>
      <c r="L90" t="n">
        <v>0</v>
      </c>
      <c r="M90" t="n">
        <v>0</v>
      </c>
      <c r="N90" t="n">
        <v>0</v>
      </c>
      <c r="O90" t="n">
        <v>0</v>
      </c>
      <c r="P90" t="n">
        <v>0</v>
      </c>
      <c r="Q90" t="n">
        <v>0</v>
      </c>
      <c r="R90" s="2" t="inlineStr"/>
    </row>
    <row r="91" ht="15" customHeight="1">
      <c r="A91" t="inlineStr">
        <is>
          <t>A 33963-2023</t>
        </is>
      </c>
      <c r="B91" s="1" t="n">
        <v>45134.62525462963</v>
      </c>
      <c r="C91" s="1" t="n">
        <v>45928</v>
      </c>
      <c r="D91" t="inlineStr">
        <is>
          <t>ÖREBRO LÄN</t>
        </is>
      </c>
      <c r="E91" t="inlineStr">
        <is>
          <t>LEKEBERG</t>
        </is>
      </c>
      <c r="G91" t="n">
        <v>2.8</v>
      </c>
      <c r="H91" t="n">
        <v>0</v>
      </c>
      <c r="I91" t="n">
        <v>0</v>
      </c>
      <c r="J91" t="n">
        <v>0</v>
      </c>
      <c r="K91" t="n">
        <v>0</v>
      </c>
      <c r="L91" t="n">
        <v>0</v>
      </c>
      <c r="M91" t="n">
        <v>0</v>
      </c>
      <c r="N91" t="n">
        <v>0</v>
      </c>
      <c r="O91" t="n">
        <v>0</v>
      </c>
      <c r="P91" t="n">
        <v>0</v>
      </c>
      <c r="Q91" t="n">
        <v>0</v>
      </c>
      <c r="R91" s="2" t="inlineStr"/>
    </row>
    <row r="92" ht="15" customHeight="1">
      <c r="A92" t="inlineStr">
        <is>
          <t>A 11289-2023</t>
        </is>
      </c>
      <c r="B92" s="1" t="n">
        <v>44992</v>
      </c>
      <c r="C92" s="1" t="n">
        <v>45928</v>
      </c>
      <c r="D92" t="inlineStr">
        <is>
          <t>ÖREBRO LÄN</t>
        </is>
      </c>
      <c r="E92" t="inlineStr">
        <is>
          <t>LEKEBERG</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39873-2024</t>
        </is>
      </c>
      <c r="B93" s="1" t="n">
        <v>45553</v>
      </c>
      <c r="C93" s="1" t="n">
        <v>45928</v>
      </c>
      <c r="D93" t="inlineStr">
        <is>
          <t>ÖREBRO LÄN</t>
        </is>
      </c>
      <c r="E93" t="inlineStr">
        <is>
          <t>LEKEBERG</t>
        </is>
      </c>
      <c r="F93" t="inlineStr">
        <is>
          <t>Sveaskog</t>
        </is>
      </c>
      <c r="G93" t="n">
        <v>3.2</v>
      </c>
      <c r="H93" t="n">
        <v>0</v>
      </c>
      <c r="I93" t="n">
        <v>0</v>
      </c>
      <c r="J93" t="n">
        <v>0</v>
      </c>
      <c r="K93" t="n">
        <v>0</v>
      </c>
      <c r="L93" t="n">
        <v>0</v>
      </c>
      <c r="M93" t="n">
        <v>0</v>
      </c>
      <c r="N93" t="n">
        <v>0</v>
      </c>
      <c r="O93" t="n">
        <v>0</v>
      </c>
      <c r="P93" t="n">
        <v>0</v>
      </c>
      <c r="Q93" t="n">
        <v>0</v>
      </c>
      <c r="R93" s="2" t="inlineStr"/>
      <c r="U93">
        <f>HYPERLINK("https://klasma.github.io/Logging_1814/knärot/A 39873-2024 karta knärot.png", "A 39873-2024")</f>
        <v/>
      </c>
      <c r="V93">
        <f>HYPERLINK("https://klasma.github.io/Logging_1814/klagomål/A 39873-2024 FSC-klagomål.docx", "A 39873-2024")</f>
        <v/>
      </c>
      <c r="W93">
        <f>HYPERLINK("https://klasma.github.io/Logging_1814/klagomålsmail/A 39873-2024 FSC-klagomål mail.docx", "A 39873-2024")</f>
        <v/>
      </c>
      <c r="X93">
        <f>HYPERLINK("https://klasma.github.io/Logging_1814/tillsyn/A 39873-2024 tillsynsbegäran.docx", "A 39873-2024")</f>
        <v/>
      </c>
      <c r="Y93">
        <f>HYPERLINK("https://klasma.github.io/Logging_1814/tillsynsmail/A 39873-2024 tillsynsbegäran mail.docx", "A 39873-2024")</f>
        <v/>
      </c>
    </row>
    <row r="94" ht="15" customHeight="1">
      <c r="A94" t="inlineStr">
        <is>
          <t>A 20344-2023</t>
        </is>
      </c>
      <c r="B94" s="1" t="n">
        <v>45056</v>
      </c>
      <c r="C94" s="1" t="n">
        <v>45928</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3643-2023</t>
        </is>
      </c>
      <c r="B95" s="1" t="n">
        <v>44950.69260416667</v>
      </c>
      <c r="C95" s="1" t="n">
        <v>45928</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43621-2025</t>
        </is>
      </c>
      <c r="B96" s="1" t="n">
        <v>45911.681875</v>
      </c>
      <c r="C96" s="1" t="n">
        <v>45928</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18382-2023</t>
        </is>
      </c>
      <c r="B97" s="1" t="n">
        <v>45042.27751157407</v>
      </c>
      <c r="C97" s="1" t="n">
        <v>45928</v>
      </c>
      <c r="D97" t="inlineStr">
        <is>
          <t>ÖREBRO LÄN</t>
        </is>
      </c>
      <c r="E97" t="inlineStr">
        <is>
          <t>LEKEBERG</t>
        </is>
      </c>
      <c r="G97" t="n">
        <v>2.5</v>
      </c>
      <c r="H97" t="n">
        <v>0</v>
      </c>
      <c r="I97" t="n">
        <v>0</v>
      </c>
      <c r="J97" t="n">
        <v>0</v>
      </c>
      <c r="K97" t="n">
        <v>0</v>
      </c>
      <c r="L97" t="n">
        <v>0</v>
      </c>
      <c r="M97" t="n">
        <v>0</v>
      </c>
      <c r="N97" t="n">
        <v>0</v>
      </c>
      <c r="O97" t="n">
        <v>0</v>
      </c>
      <c r="P97" t="n">
        <v>0</v>
      </c>
      <c r="Q97" t="n">
        <v>0</v>
      </c>
      <c r="R97" s="2" t="inlineStr"/>
    </row>
    <row r="98" ht="15" customHeight="1">
      <c r="A98" t="inlineStr">
        <is>
          <t>A 1607-2023</t>
        </is>
      </c>
      <c r="B98" s="1" t="n">
        <v>44937</v>
      </c>
      <c r="C98" s="1" t="n">
        <v>45928</v>
      </c>
      <c r="D98" t="inlineStr">
        <is>
          <t>ÖREBRO LÄN</t>
        </is>
      </c>
      <c r="E98" t="inlineStr">
        <is>
          <t>LEKEBERG</t>
        </is>
      </c>
      <c r="G98" t="n">
        <v>3</v>
      </c>
      <c r="H98" t="n">
        <v>0</v>
      </c>
      <c r="I98" t="n">
        <v>0</v>
      </c>
      <c r="J98" t="n">
        <v>0</v>
      </c>
      <c r="K98" t="n">
        <v>0</v>
      </c>
      <c r="L98" t="n">
        <v>0</v>
      </c>
      <c r="M98" t="n">
        <v>0</v>
      </c>
      <c r="N98" t="n">
        <v>0</v>
      </c>
      <c r="O98" t="n">
        <v>0</v>
      </c>
      <c r="P98" t="n">
        <v>0</v>
      </c>
      <c r="Q98" t="n">
        <v>0</v>
      </c>
      <c r="R98" s="2" t="inlineStr"/>
    </row>
    <row r="99" ht="15" customHeight="1">
      <c r="A99" t="inlineStr">
        <is>
          <t>A 5559-2024</t>
        </is>
      </c>
      <c r="B99" s="1" t="n">
        <v>45334</v>
      </c>
      <c r="C99" s="1" t="n">
        <v>45928</v>
      </c>
      <c r="D99" t="inlineStr">
        <is>
          <t>ÖREBRO LÄN</t>
        </is>
      </c>
      <c r="E99" t="inlineStr">
        <is>
          <t>LEKEBERG</t>
        </is>
      </c>
      <c r="G99" t="n">
        <v>2.9</v>
      </c>
      <c r="H99" t="n">
        <v>0</v>
      </c>
      <c r="I99" t="n">
        <v>0</v>
      </c>
      <c r="J99" t="n">
        <v>0</v>
      </c>
      <c r="K99" t="n">
        <v>0</v>
      </c>
      <c r="L99" t="n">
        <v>0</v>
      </c>
      <c r="M99" t="n">
        <v>0</v>
      </c>
      <c r="N99" t="n">
        <v>0</v>
      </c>
      <c r="O99" t="n">
        <v>0</v>
      </c>
      <c r="P99" t="n">
        <v>0</v>
      </c>
      <c r="Q99" t="n">
        <v>0</v>
      </c>
      <c r="R99" s="2" t="inlineStr"/>
    </row>
    <row r="100" ht="15" customHeight="1">
      <c r="A100" t="inlineStr">
        <is>
          <t>A 18645-2023</t>
        </is>
      </c>
      <c r="B100" s="1" t="n">
        <v>45043</v>
      </c>
      <c r="C100" s="1" t="n">
        <v>45928</v>
      </c>
      <c r="D100" t="inlineStr">
        <is>
          <t>ÖREBRO LÄN</t>
        </is>
      </c>
      <c r="E100" t="inlineStr">
        <is>
          <t>LEKEBERG</t>
        </is>
      </c>
      <c r="G100" t="n">
        <v>1.8</v>
      </c>
      <c r="H100" t="n">
        <v>0</v>
      </c>
      <c r="I100" t="n">
        <v>0</v>
      </c>
      <c r="J100" t="n">
        <v>0</v>
      </c>
      <c r="K100" t="n">
        <v>0</v>
      </c>
      <c r="L100" t="n">
        <v>0</v>
      </c>
      <c r="M100" t="n">
        <v>0</v>
      </c>
      <c r="N100" t="n">
        <v>0</v>
      </c>
      <c r="O100" t="n">
        <v>0</v>
      </c>
      <c r="P100" t="n">
        <v>0</v>
      </c>
      <c r="Q100" t="n">
        <v>0</v>
      </c>
      <c r="R100" s="2" t="inlineStr"/>
    </row>
    <row r="101" ht="15" customHeight="1">
      <c r="A101" t="inlineStr">
        <is>
          <t>A 4467-2022</t>
        </is>
      </c>
      <c r="B101" s="1" t="n">
        <v>44589</v>
      </c>
      <c r="C101" s="1" t="n">
        <v>45928</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45928</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22580-2024</t>
        </is>
      </c>
      <c r="B103" s="1" t="n">
        <v>45447.5825462963</v>
      </c>
      <c r="C103" s="1" t="n">
        <v>45928</v>
      </c>
      <c r="D103" t="inlineStr">
        <is>
          <t>ÖREBRO LÄN</t>
        </is>
      </c>
      <c r="E103" t="inlineStr">
        <is>
          <t>LEKEBERG</t>
        </is>
      </c>
      <c r="G103" t="n">
        <v>7.3</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45928</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64615-2023</t>
        </is>
      </c>
      <c r="B105" s="1" t="n">
        <v>45281.52231481481</v>
      </c>
      <c r="C105" s="1" t="n">
        <v>45928</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46398-2021</t>
        </is>
      </c>
      <c r="B106" s="1" t="n">
        <v>44443.77010416667</v>
      </c>
      <c r="C106" s="1" t="n">
        <v>45928</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41551-2024</t>
        </is>
      </c>
      <c r="B107" s="1" t="n">
        <v>45560</v>
      </c>
      <c r="C107" s="1" t="n">
        <v>45928</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41233-2024</t>
        </is>
      </c>
      <c r="B108" s="1" t="n">
        <v>45559</v>
      </c>
      <c r="C108" s="1" t="n">
        <v>45928</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44650-2024</t>
        </is>
      </c>
      <c r="B109" s="1" t="n">
        <v>45574</v>
      </c>
      <c r="C109" s="1" t="n">
        <v>45928</v>
      </c>
      <c r="D109" t="inlineStr">
        <is>
          <t>ÖREBRO LÄN</t>
        </is>
      </c>
      <c r="E109" t="inlineStr">
        <is>
          <t>LEKEBERG</t>
        </is>
      </c>
      <c r="G109" t="n">
        <v>8</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45928</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45928</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45928</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45928</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45928</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1599-2025</t>
        </is>
      </c>
      <c r="B115" s="1" t="n">
        <v>45670.58930555556</v>
      </c>
      <c r="C115" s="1" t="n">
        <v>45928</v>
      </c>
      <c r="D115" t="inlineStr">
        <is>
          <t>ÖREBRO LÄN</t>
        </is>
      </c>
      <c r="E115" t="inlineStr">
        <is>
          <t>LEKEBERG</t>
        </is>
      </c>
      <c r="F115" t="inlineStr">
        <is>
          <t>Allmännings- och besparingsskogar</t>
        </is>
      </c>
      <c r="G115" t="n">
        <v>18.8</v>
      </c>
      <c r="H115" t="n">
        <v>0</v>
      </c>
      <c r="I115" t="n">
        <v>0</v>
      </c>
      <c r="J115" t="n">
        <v>0</v>
      </c>
      <c r="K115" t="n">
        <v>0</v>
      </c>
      <c r="L115" t="n">
        <v>0</v>
      </c>
      <c r="M115" t="n">
        <v>0</v>
      </c>
      <c r="N115" t="n">
        <v>0</v>
      </c>
      <c r="O115" t="n">
        <v>0</v>
      </c>
      <c r="P115" t="n">
        <v>0</v>
      </c>
      <c r="Q115" t="n">
        <v>0</v>
      </c>
      <c r="R115" s="2" t="inlineStr"/>
    </row>
    <row r="116" ht="15" customHeight="1">
      <c r="A116" t="inlineStr">
        <is>
          <t>A 48268-2021</t>
        </is>
      </c>
      <c r="B116" s="1" t="n">
        <v>44449.66981481481</v>
      </c>
      <c r="C116" s="1" t="n">
        <v>45928</v>
      </c>
      <c r="D116" t="inlineStr">
        <is>
          <t>ÖREBRO LÄN</t>
        </is>
      </c>
      <c r="E116" t="inlineStr">
        <is>
          <t>LEKEBERG</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61492-2022</t>
        </is>
      </c>
      <c r="B117" s="1" t="n">
        <v>44916.47408564815</v>
      </c>
      <c r="C117" s="1" t="n">
        <v>45928</v>
      </c>
      <c r="D117" t="inlineStr">
        <is>
          <t>ÖREBRO LÄN</t>
        </is>
      </c>
      <c r="E117" t="inlineStr">
        <is>
          <t>LEKEBERG</t>
        </is>
      </c>
      <c r="G117" t="n">
        <v>5.9</v>
      </c>
      <c r="H117" t="n">
        <v>0</v>
      </c>
      <c r="I117" t="n">
        <v>0</v>
      </c>
      <c r="J117" t="n">
        <v>0</v>
      </c>
      <c r="K117" t="n">
        <v>0</v>
      </c>
      <c r="L117" t="n">
        <v>0</v>
      </c>
      <c r="M117" t="n">
        <v>0</v>
      </c>
      <c r="N117" t="n">
        <v>0</v>
      </c>
      <c r="O117" t="n">
        <v>0</v>
      </c>
      <c r="P117" t="n">
        <v>0</v>
      </c>
      <c r="Q117" t="n">
        <v>0</v>
      </c>
      <c r="R117" s="2" t="inlineStr"/>
    </row>
    <row r="118" ht="15" customHeight="1">
      <c r="A118" t="inlineStr">
        <is>
          <t>A 12963-2023</t>
        </is>
      </c>
      <c r="B118" s="1" t="n">
        <v>45001</v>
      </c>
      <c r="C118" s="1" t="n">
        <v>45928</v>
      </c>
      <c r="D118" t="inlineStr">
        <is>
          <t>ÖREBRO LÄN</t>
        </is>
      </c>
      <c r="E118" t="inlineStr">
        <is>
          <t>LEKEBERG</t>
        </is>
      </c>
      <c r="G118" t="n">
        <v>2.4</v>
      </c>
      <c r="H118" t="n">
        <v>0</v>
      </c>
      <c r="I118" t="n">
        <v>0</v>
      </c>
      <c r="J118" t="n">
        <v>0</v>
      </c>
      <c r="K118" t="n">
        <v>0</v>
      </c>
      <c r="L118" t="n">
        <v>0</v>
      </c>
      <c r="M118" t="n">
        <v>0</v>
      </c>
      <c r="N118" t="n">
        <v>0</v>
      </c>
      <c r="O118" t="n">
        <v>0</v>
      </c>
      <c r="P118" t="n">
        <v>0</v>
      </c>
      <c r="Q118" t="n">
        <v>0</v>
      </c>
      <c r="R118" s="2" t="inlineStr"/>
    </row>
    <row r="119" ht="15" customHeight="1">
      <c r="A119" t="inlineStr">
        <is>
          <t>A 39871-2024</t>
        </is>
      </c>
      <c r="B119" s="1" t="n">
        <v>45553</v>
      </c>
      <c r="C119" s="1" t="n">
        <v>45928</v>
      </c>
      <c r="D119" t="inlineStr">
        <is>
          <t>ÖREBRO LÄN</t>
        </is>
      </c>
      <c r="E119" t="inlineStr">
        <is>
          <t>LEKEBERG</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47906-2023</t>
        </is>
      </c>
      <c r="B120" s="1" t="n">
        <v>45204</v>
      </c>
      <c r="C120" s="1" t="n">
        <v>45928</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37598-2024</t>
        </is>
      </c>
      <c r="B121" s="1" t="n">
        <v>45541.47604166667</v>
      </c>
      <c r="C121" s="1" t="n">
        <v>45928</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38922-2023</t>
        </is>
      </c>
      <c r="B122" s="1" t="n">
        <v>45163.57961805556</v>
      </c>
      <c r="C122" s="1" t="n">
        <v>45928</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37898-2025</t>
        </is>
      </c>
      <c r="B123" s="1" t="n">
        <v>45881.55846064815</v>
      </c>
      <c r="C123" s="1" t="n">
        <v>45928</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1157-2025</t>
        </is>
      </c>
      <c r="B124" s="1" t="n">
        <v>45666.75922453704</v>
      </c>
      <c r="C124" s="1" t="n">
        <v>45928</v>
      </c>
      <c r="D124" t="inlineStr">
        <is>
          <t>ÖREBRO LÄN</t>
        </is>
      </c>
      <c r="E124" t="inlineStr">
        <is>
          <t>LEKEBERG</t>
        </is>
      </c>
      <c r="G124" t="n">
        <v>1.3</v>
      </c>
      <c r="H124" t="n">
        <v>0</v>
      </c>
      <c r="I124" t="n">
        <v>0</v>
      </c>
      <c r="J124" t="n">
        <v>0</v>
      </c>
      <c r="K124" t="n">
        <v>0</v>
      </c>
      <c r="L124" t="n">
        <v>0</v>
      </c>
      <c r="M124" t="n">
        <v>0</v>
      </c>
      <c r="N124" t="n">
        <v>0</v>
      </c>
      <c r="O124" t="n">
        <v>0</v>
      </c>
      <c r="P124" t="n">
        <v>0</v>
      </c>
      <c r="Q124" t="n">
        <v>0</v>
      </c>
      <c r="R124" s="2" t="inlineStr"/>
    </row>
    <row r="125" ht="15" customHeight="1">
      <c r="A125" t="inlineStr">
        <is>
          <t>A 10746-2023</t>
        </is>
      </c>
      <c r="B125" s="1" t="n">
        <v>44988</v>
      </c>
      <c r="C125" s="1" t="n">
        <v>45928</v>
      </c>
      <c r="D125" t="inlineStr">
        <is>
          <t>ÖREBRO LÄN</t>
        </is>
      </c>
      <c r="E125" t="inlineStr">
        <is>
          <t>LEKEBERG</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2038-2025</t>
        </is>
      </c>
      <c r="B126" s="1" t="n">
        <v>45672.49553240741</v>
      </c>
      <c r="C126" s="1" t="n">
        <v>45928</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2175-2024</t>
        </is>
      </c>
      <c r="B127" s="1" t="n">
        <v>45309</v>
      </c>
      <c r="C127" s="1" t="n">
        <v>45928</v>
      </c>
      <c r="D127" t="inlineStr">
        <is>
          <t>ÖREBRO LÄN</t>
        </is>
      </c>
      <c r="E127" t="inlineStr">
        <is>
          <t>LEKEBERG</t>
        </is>
      </c>
      <c r="G127" t="n">
        <v>3.8</v>
      </c>
      <c r="H127" t="n">
        <v>0</v>
      </c>
      <c r="I127" t="n">
        <v>0</v>
      </c>
      <c r="J127" t="n">
        <v>0</v>
      </c>
      <c r="K127" t="n">
        <v>0</v>
      </c>
      <c r="L127" t="n">
        <v>0</v>
      </c>
      <c r="M127" t="n">
        <v>0</v>
      </c>
      <c r="N127" t="n">
        <v>0</v>
      </c>
      <c r="O127" t="n">
        <v>0</v>
      </c>
      <c r="P127" t="n">
        <v>0</v>
      </c>
      <c r="Q127" t="n">
        <v>0</v>
      </c>
      <c r="R127" s="2" t="inlineStr"/>
    </row>
    <row r="128" ht="15" customHeight="1">
      <c r="A128" t="inlineStr">
        <is>
          <t>A 53910-2023</t>
        </is>
      </c>
      <c r="B128" s="1" t="n">
        <v>45231.55751157407</v>
      </c>
      <c r="C128" s="1" t="n">
        <v>45928</v>
      </c>
      <c r="D128" t="inlineStr">
        <is>
          <t>ÖREBRO LÄN</t>
        </is>
      </c>
      <c r="E128" t="inlineStr">
        <is>
          <t>LEKEBERG</t>
        </is>
      </c>
      <c r="G128" t="n">
        <v>5.7</v>
      </c>
      <c r="H128" t="n">
        <v>0</v>
      </c>
      <c r="I128" t="n">
        <v>0</v>
      </c>
      <c r="J128" t="n">
        <v>0</v>
      </c>
      <c r="K128" t="n">
        <v>0</v>
      </c>
      <c r="L128" t="n">
        <v>0</v>
      </c>
      <c r="M128" t="n">
        <v>0</v>
      </c>
      <c r="N128" t="n">
        <v>0</v>
      </c>
      <c r="O128" t="n">
        <v>0</v>
      </c>
      <c r="P128" t="n">
        <v>0</v>
      </c>
      <c r="Q128" t="n">
        <v>0</v>
      </c>
      <c r="R128" s="2" t="inlineStr"/>
    </row>
    <row r="129" ht="15" customHeight="1">
      <c r="A129" t="inlineStr">
        <is>
          <t>A 40240-2024</t>
        </is>
      </c>
      <c r="B129" s="1" t="n">
        <v>45554.61458333334</v>
      </c>
      <c r="C129" s="1" t="n">
        <v>45928</v>
      </c>
      <c r="D129" t="inlineStr">
        <is>
          <t>ÖREBRO LÄN</t>
        </is>
      </c>
      <c r="E129" t="inlineStr">
        <is>
          <t>LEKEBERG</t>
        </is>
      </c>
      <c r="G129" t="n">
        <v>3.6</v>
      </c>
      <c r="H129" t="n">
        <v>0</v>
      </c>
      <c r="I129" t="n">
        <v>0</v>
      </c>
      <c r="J129" t="n">
        <v>0</v>
      </c>
      <c r="K129" t="n">
        <v>0</v>
      </c>
      <c r="L129" t="n">
        <v>0</v>
      </c>
      <c r="M129" t="n">
        <v>0</v>
      </c>
      <c r="N129" t="n">
        <v>0</v>
      </c>
      <c r="O129" t="n">
        <v>0</v>
      </c>
      <c r="P129" t="n">
        <v>0</v>
      </c>
      <c r="Q129" t="n">
        <v>0</v>
      </c>
      <c r="R129" s="2" t="inlineStr"/>
    </row>
    <row r="130" ht="15" customHeight="1">
      <c r="A130" t="inlineStr">
        <is>
          <t>A 18400-2025</t>
        </is>
      </c>
      <c r="B130" s="1" t="n">
        <v>45762.59549768519</v>
      </c>
      <c r="C130" s="1" t="n">
        <v>45928</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34885-2022</t>
        </is>
      </c>
      <c r="B131" s="1" t="n">
        <v>44796.51725694445</v>
      </c>
      <c r="C131" s="1" t="n">
        <v>45928</v>
      </c>
      <c r="D131" t="inlineStr">
        <is>
          <t>ÖREBRO LÄN</t>
        </is>
      </c>
      <c r="E131" t="inlineStr">
        <is>
          <t>LEKEBERG</t>
        </is>
      </c>
      <c r="G131" t="n">
        <v>2.9</v>
      </c>
      <c r="H131" t="n">
        <v>0</v>
      </c>
      <c r="I131" t="n">
        <v>0</v>
      </c>
      <c r="J131" t="n">
        <v>0</v>
      </c>
      <c r="K131" t="n">
        <v>0</v>
      </c>
      <c r="L131" t="n">
        <v>0</v>
      </c>
      <c r="M131" t="n">
        <v>0</v>
      </c>
      <c r="N131" t="n">
        <v>0</v>
      </c>
      <c r="O131" t="n">
        <v>0</v>
      </c>
      <c r="P131" t="n">
        <v>0</v>
      </c>
      <c r="Q131" t="n">
        <v>0</v>
      </c>
      <c r="R131" s="2" t="inlineStr"/>
    </row>
    <row r="132" ht="15" customHeight="1">
      <c r="A132" t="inlineStr">
        <is>
          <t>A 39938-2025</t>
        </is>
      </c>
      <c r="B132" s="1" t="n">
        <v>45891</v>
      </c>
      <c r="C132" s="1" t="n">
        <v>45928</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39875-2024</t>
        </is>
      </c>
      <c r="B133" s="1" t="n">
        <v>45553</v>
      </c>
      <c r="C133" s="1" t="n">
        <v>45928</v>
      </c>
      <c r="D133" t="inlineStr">
        <is>
          <t>ÖREBRO LÄN</t>
        </is>
      </c>
      <c r="E133" t="inlineStr">
        <is>
          <t>LEKEBERG</t>
        </is>
      </c>
      <c r="F133" t="inlineStr">
        <is>
          <t>Sveaskog</t>
        </is>
      </c>
      <c r="G133" t="n">
        <v>4.9</v>
      </c>
      <c r="H133" t="n">
        <v>0</v>
      </c>
      <c r="I133" t="n">
        <v>0</v>
      </c>
      <c r="J133" t="n">
        <v>0</v>
      </c>
      <c r="K133" t="n">
        <v>0</v>
      </c>
      <c r="L133" t="n">
        <v>0</v>
      </c>
      <c r="M133" t="n">
        <v>0</v>
      </c>
      <c r="N133" t="n">
        <v>0</v>
      </c>
      <c r="O133" t="n">
        <v>0</v>
      </c>
      <c r="P133" t="n">
        <v>0</v>
      </c>
      <c r="Q133" t="n">
        <v>0</v>
      </c>
      <c r="R133" s="2" t="inlineStr"/>
    </row>
    <row r="134" ht="15" customHeight="1">
      <c r="A134" t="inlineStr">
        <is>
          <t>A 39878-2024</t>
        </is>
      </c>
      <c r="B134" s="1" t="n">
        <v>45553</v>
      </c>
      <c r="C134" s="1" t="n">
        <v>45928</v>
      </c>
      <c r="D134" t="inlineStr">
        <is>
          <t>ÖREBRO LÄN</t>
        </is>
      </c>
      <c r="E134" t="inlineStr">
        <is>
          <t>LEKEBERG</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19045-2023</t>
        </is>
      </c>
      <c r="B135" s="1" t="n">
        <v>45047</v>
      </c>
      <c r="C135" s="1" t="n">
        <v>45928</v>
      </c>
      <c r="D135" t="inlineStr">
        <is>
          <t>ÖREBRO LÄN</t>
        </is>
      </c>
      <c r="E135" t="inlineStr">
        <is>
          <t>LEKEBERG</t>
        </is>
      </c>
      <c r="G135" t="n">
        <v>1.2</v>
      </c>
      <c r="H135" t="n">
        <v>0</v>
      </c>
      <c r="I135" t="n">
        <v>0</v>
      </c>
      <c r="J135" t="n">
        <v>0</v>
      </c>
      <c r="K135" t="n">
        <v>0</v>
      </c>
      <c r="L135" t="n">
        <v>0</v>
      </c>
      <c r="M135" t="n">
        <v>0</v>
      </c>
      <c r="N135" t="n">
        <v>0</v>
      </c>
      <c r="O135" t="n">
        <v>0</v>
      </c>
      <c r="P135" t="n">
        <v>0</v>
      </c>
      <c r="Q135" t="n">
        <v>0</v>
      </c>
      <c r="R135" s="2" t="inlineStr"/>
    </row>
    <row r="136" ht="15" customHeight="1">
      <c r="A136" t="inlineStr">
        <is>
          <t>A 19178-2025</t>
        </is>
      </c>
      <c r="B136" s="1" t="n">
        <v>45769</v>
      </c>
      <c r="C136" s="1" t="n">
        <v>45928</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24913-2023</t>
        </is>
      </c>
      <c r="B137" s="1" t="n">
        <v>45085.49424768519</v>
      </c>
      <c r="C137" s="1" t="n">
        <v>45928</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56282-2023</t>
        </is>
      </c>
      <c r="B138" s="1" t="n">
        <v>45241.82328703703</v>
      </c>
      <c r="C138" s="1" t="n">
        <v>45928</v>
      </c>
      <c r="D138" t="inlineStr">
        <is>
          <t>ÖREBRO LÄN</t>
        </is>
      </c>
      <c r="E138" t="inlineStr">
        <is>
          <t>LEKEBERG</t>
        </is>
      </c>
      <c r="G138" t="n">
        <v>6.8</v>
      </c>
      <c r="H138" t="n">
        <v>0</v>
      </c>
      <c r="I138" t="n">
        <v>0</v>
      </c>
      <c r="J138" t="n">
        <v>0</v>
      </c>
      <c r="K138" t="n">
        <v>0</v>
      </c>
      <c r="L138" t="n">
        <v>0</v>
      </c>
      <c r="M138" t="n">
        <v>0</v>
      </c>
      <c r="N138" t="n">
        <v>0</v>
      </c>
      <c r="O138" t="n">
        <v>0</v>
      </c>
      <c r="P138" t="n">
        <v>0</v>
      </c>
      <c r="Q138" t="n">
        <v>0</v>
      </c>
      <c r="R138" s="2" t="inlineStr"/>
    </row>
    <row r="139" ht="15" customHeight="1">
      <c r="A139" t="inlineStr">
        <is>
          <t>A 40696-2022</t>
        </is>
      </c>
      <c r="B139" s="1" t="n">
        <v>44824</v>
      </c>
      <c r="C139" s="1" t="n">
        <v>45928</v>
      </c>
      <c r="D139" t="inlineStr">
        <is>
          <t>ÖREBRO LÄN</t>
        </is>
      </c>
      <c r="E139" t="inlineStr">
        <is>
          <t>LEKEBERG</t>
        </is>
      </c>
      <c r="G139" t="n">
        <v>2.5</v>
      </c>
      <c r="H139" t="n">
        <v>0</v>
      </c>
      <c r="I139" t="n">
        <v>0</v>
      </c>
      <c r="J139" t="n">
        <v>0</v>
      </c>
      <c r="K139" t="n">
        <v>0</v>
      </c>
      <c r="L139" t="n">
        <v>0</v>
      </c>
      <c r="M139" t="n">
        <v>0</v>
      </c>
      <c r="N139" t="n">
        <v>0</v>
      </c>
      <c r="O139" t="n">
        <v>0</v>
      </c>
      <c r="P139" t="n">
        <v>0</v>
      </c>
      <c r="Q139" t="n">
        <v>0</v>
      </c>
      <c r="R139" s="2" t="inlineStr"/>
    </row>
    <row r="140" ht="15" customHeight="1">
      <c r="A140" t="inlineStr">
        <is>
          <t>A 14702-2023</t>
        </is>
      </c>
      <c r="B140" s="1" t="n">
        <v>45014</v>
      </c>
      <c r="C140" s="1" t="n">
        <v>45928</v>
      </c>
      <c r="D140" t="inlineStr">
        <is>
          <t>ÖREBRO LÄN</t>
        </is>
      </c>
      <c r="E140" t="inlineStr">
        <is>
          <t>LEKEBERG</t>
        </is>
      </c>
      <c r="G140" t="n">
        <v>12.1</v>
      </c>
      <c r="H140" t="n">
        <v>0</v>
      </c>
      <c r="I140" t="n">
        <v>0</v>
      </c>
      <c r="J140" t="n">
        <v>0</v>
      </c>
      <c r="K140" t="n">
        <v>0</v>
      </c>
      <c r="L140" t="n">
        <v>0</v>
      </c>
      <c r="M140" t="n">
        <v>0</v>
      </c>
      <c r="N140" t="n">
        <v>0</v>
      </c>
      <c r="O140" t="n">
        <v>0</v>
      </c>
      <c r="P140" t="n">
        <v>0</v>
      </c>
      <c r="Q140" t="n">
        <v>0</v>
      </c>
      <c r="R140" s="2" t="inlineStr"/>
    </row>
    <row r="141" ht="15" customHeight="1">
      <c r="A141" t="inlineStr">
        <is>
          <t>A 30603-2021</t>
        </is>
      </c>
      <c r="B141" s="1" t="n">
        <v>44365.28403935185</v>
      </c>
      <c r="C141" s="1" t="n">
        <v>45928</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21886-2023</t>
        </is>
      </c>
      <c r="B142" s="1" t="n">
        <v>45068</v>
      </c>
      <c r="C142" s="1" t="n">
        <v>45928</v>
      </c>
      <c r="D142" t="inlineStr">
        <is>
          <t>ÖREBRO LÄN</t>
        </is>
      </c>
      <c r="E142" t="inlineStr">
        <is>
          <t>LEKEBERG</t>
        </is>
      </c>
      <c r="G142" t="n">
        <v>2.1</v>
      </c>
      <c r="H142" t="n">
        <v>0</v>
      </c>
      <c r="I142" t="n">
        <v>0</v>
      </c>
      <c r="J142" t="n">
        <v>0</v>
      </c>
      <c r="K142" t="n">
        <v>0</v>
      </c>
      <c r="L142" t="n">
        <v>0</v>
      </c>
      <c r="M142" t="n">
        <v>0</v>
      </c>
      <c r="N142" t="n">
        <v>0</v>
      </c>
      <c r="O142" t="n">
        <v>0</v>
      </c>
      <c r="P142" t="n">
        <v>0</v>
      </c>
      <c r="Q142" t="n">
        <v>0</v>
      </c>
      <c r="R142" s="2" t="inlineStr"/>
    </row>
    <row r="143" ht="15" customHeight="1">
      <c r="A143" t="inlineStr">
        <is>
          <t>A 21886-2023</t>
        </is>
      </c>
      <c r="B143" s="1" t="n">
        <v>45068</v>
      </c>
      <c r="C143" s="1" t="n">
        <v>45928</v>
      </c>
      <c r="D143" t="inlineStr">
        <is>
          <t>ÖREBRO LÄN</t>
        </is>
      </c>
      <c r="E143" t="inlineStr">
        <is>
          <t>LEKEBERG</t>
        </is>
      </c>
      <c r="G143" t="n">
        <v>0.3</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45928</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37564-2024</t>
        </is>
      </c>
      <c r="B145" s="1" t="n">
        <v>45541.44607638889</v>
      </c>
      <c r="C145" s="1" t="n">
        <v>45928</v>
      </c>
      <c r="D145" t="inlineStr">
        <is>
          <t>ÖREBRO LÄN</t>
        </is>
      </c>
      <c r="E145" t="inlineStr">
        <is>
          <t>LEKEBERG</t>
        </is>
      </c>
      <c r="G145" t="n">
        <v>11.1</v>
      </c>
      <c r="H145" t="n">
        <v>0</v>
      </c>
      <c r="I145" t="n">
        <v>0</v>
      </c>
      <c r="J145" t="n">
        <v>0</v>
      </c>
      <c r="K145" t="n">
        <v>0</v>
      </c>
      <c r="L145" t="n">
        <v>0</v>
      </c>
      <c r="M145" t="n">
        <v>0</v>
      </c>
      <c r="N145" t="n">
        <v>0</v>
      </c>
      <c r="O145" t="n">
        <v>0</v>
      </c>
      <c r="P145" t="n">
        <v>0</v>
      </c>
      <c r="Q145" t="n">
        <v>0</v>
      </c>
      <c r="R145" s="2" t="inlineStr"/>
    </row>
    <row r="146" ht="15" customHeight="1">
      <c r="A146" t="inlineStr">
        <is>
          <t>A 10467-2025</t>
        </is>
      </c>
      <c r="B146" s="1" t="n">
        <v>45720.83359953704</v>
      </c>
      <c r="C146" s="1" t="n">
        <v>45928</v>
      </c>
      <c r="D146" t="inlineStr">
        <is>
          <t>ÖREBRO LÄN</t>
        </is>
      </c>
      <c r="E146" t="inlineStr">
        <is>
          <t>LEKEBERG</t>
        </is>
      </c>
      <c r="G146" t="n">
        <v>3.8</v>
      </c>
      <c r="H146" t="n">
        <v>0</v>
      </c>
      <c r="I146" t="n">
        <v>0</v>
      </c>
      <c r="J146" t="n">
        <v>0</v>
      </c>
      <c r="K146" t="n">
        <v>0</v>
      </c>
      <c r="L146" t="n">
        <v>0</v>
      </c>
      <c r="M146" t="n">
        <v>0</v>
      </c>
      <c r="N146" t="n">
        <v>0</v>
      </c>
      <c r="O146" t="n">
        <v>0</v>
      </c>
      <c r="P146" t="n">
        <v>0</v>
      </c>
      <c r="Q146" t="n">
        <v>0</v>
      </c>
      <c r="R146" s="2" t="inlineStr"/>
    </row>
    <row r="147" ht="15" customHeight="1">
      <c r="A147" t="inlineStr">
        <is>
          <t>A 28620-2023</t>
        </is>
      </c>
      <c r="B147" s="1" t="n">
        <v>45103.5975462963</v>
      </c>
      <c r="C147" s="1" t="n">
        <v>45928</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54227-2024</t>
        </is>
      </c>
      <c r="B148" s="1" t="n">
        <v>45616</v>
      </c>
      <c r="C148" s="1" t="n">
        <v>45928</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38297-2025</t>
        </is>
      </c>
      <c r="B149" s="1" t="n">
        <v>45883.45506944445</v>
      </c>
      <c r="C149" s="1" t="n">
        <v>45928</v>
      </c>
      <c r="D149" t="inlineStr">
        <is>
          <t>ÖREBRO LÄN</t>
        </is>
      </c>
      <c r="E149" t="inlineStr">
        <is>
          <t>LEKEBERG</t>
        </is>
      </c>
      <c r="G149" t="n">
        <v>2.2</v>
      </c>
      <c r="H149" t="n">
        <v>0</v>
      </c>
      <c r="I149" t="n">
        <v>0</v>
      </c>
      <c r="J149" t="n">
        <v>0</v>
      </c>
      <c r="K149" t="n">
        <v>0</v>
      </c>
      <c r="L149" t="n">
        <v>0</v>
      </c>
      <c r="M149" t="n">
        <v>0</v>
      </c>
      <c r="N149" t="n">
        <v>0</v>
      </c>
      <c r="O149" t="n">
        <v>0</v>
      </c>
      <c r="P149" t="n">
        <v>0</v>
      </c>
      <c r="Q149" t="n">
        <v>0</v>
      </c>
      <c r="R149" s="2" t="inlineStr"/>
    </row>
    <row r="150" ht="15" customHeight="1">
      <c r="A150" t="inlineStr">
        <is>
          <t>A 46810-2025</t>
        </is>
      </c>
      <c r="B150" s="1" t="n">
        <v>45926.69480324074</v>
      </c>
      <c r="C150" s="1" t="n">
        <v>45928</v>
      </c>
      <c r="D150" t="inlineStr">
        <is>
          <t>ÖREBRO LÄN</t>
        </is>
      </c>
      <c r="E150" t="inlineStr">
        <is>
          <t>LEKEBERG</t>
        </is>
      </c>
      <c r="G150" t="n">
        <v>1.1</v>
      </c>
      <c r="H150" t="n">
        <v>0</v>
      </c>
      <c r="I150" t="n">
        <v>0</v>
      </c>
      <c r="J150" t="n">
        <v>0</v>
      </c>
      <c r="K150" t="n">
        <v>0</v>
      </c>
      <c r="L150" t="n">
        <v>0</v>
      </c>
      <c r="M150" t="n">
        <v>0</v>
      </c>
      <c r="N150" t="n">
        <v>0</v>
      </c>
      <c r="O150" t="n">
        <v>0</v>
      </c>
      <c r="P150" t="n">
        <v>0</v>
      </c>
      <c r="Q150" t="n">
        <v>0</v>
      </c>
      <c r="R150" s="2" t="inlineStr"/>
    </row>
    <row r="151" ht="15" customHeight="1">
      <c r="A151" t="inlineStr">
        <is>
          <t>A 46809-2025</t>
        </is>
      </c>
      <c r="B151" s="1" t="n">
        <v>45926.69324074074</v>
      </c>
      <c r="C151" s="1" t="n">
        <v>45928</v>
      </c>
      <c r="D151" t="inlineStr">
        <is>
          <t>ÖREBRO LÄN</t>
        </is>
      </c>
      <c r="E151" t="inlineStr">
        <is>
          <t>LEKEBERG</t>
        </is>
      </c>
      <c r="G151" t="n">
        <v>0.7</v>
      </c>
      <c r="H151" t="n">
        <v>0</v>
      </c>
      <c r="I151" t="n">
        <v>0</v>
      </c>
      <c r="J151" t="n">
        <v>0</v>
      </c>
      <c r="K151" t="n">
        <v>0</v>
      </c>
      <c r="L151" t="n">
        <v>0</v>
      </c>
      <c r="M151" t="n">
        <v>0</v>
      </c>
      <c r="N151" t="n">
        <v>0</v>
      </c>
      <c r="O151" t="n">
        <v>0</v>
      </c>
      <c r="P151" t="n">
        <v>0</v>
      </c>
      <c r="Q151" t="n">
        <v>0</v>
      </c>
      <c r="R151" s="2" t="inlineStr"/>
    </row>
    <row r="152" ht="15" customHeight="1">
      <c r="A152" t="inlineStr">
        <is>
          <t>A 33262-2023</t>
        </is>
      </c>
      <c r="B152" s="1" t="n">
        <v>45127.56380787037</v>
      </c>
      <c r="C152" s="1" t="n">
        <v>45928</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6140-2025</t>
        </is>
      </c>
      <c r="B153" s="1" t="n">
        <v>45698.3849537037</v>
      </c>
      <c r="C153" s="1" t="n">
        <v>45928</v>
      </c>
      <c r="D153" t="inlineStr">
        <is>
          <t>ÖREBRO LÄN</t>
        </is>
      </c>
      <c r="E153" t="inlineStr">
        <is>
          <t>LEKEBERG</t>
        </is>
      </c>
      <c r="G153" t="n">
        <v>0.5</v>
      </c>
      <c r="H153" t="n">
        <v>0</v>
      </c>
      <c r="I153" t="n">
        <v>0</v>
      </c>
      <c r="J153" t="n">
        <v>0</v>
      </c>
      <c r="K153" t="n">
        <v>0</v>
      </c>
      <c r="L153" t="n">
        <v>0</v>
      </c>
      <c r="M153" t="n">
        <v>0</v>
      </c>
      <c r="N153" t="n">
        <v>0</v>
      </c>
      <c r="O153" t="n">
        <v>0</v>
      </c>
      <c r="P153" t="n">
        <v>0</v>
      </c>
      <c r="Q153" t="n">
        <v>0</v>
      </c>
      <c r="R153" s="2" t="inlineStr"/>
    </row>
    <row r="154" ht="15" customHeight="1">
      <c r="A154" t="inlineStr">
        <is>
          <t>A 62841-2023</t>
        </is>
      </c>
      <c r="B154" s="1" t="n">
        <v>45270</v>
      </c>
      <c r="C154" s="1" t="n">
        <v>45928</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37042-2024</t>
        </is>
      </c>
      <c r="B155" s="1" t="n">
        <v>45539</v>
      </c>
      <c r="C155" s="1" t="n">
        <v>45928</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1515-2024</t>
        </is>
      </c>
      <c r="B156" s="1" t="n">
        <v>45305</v>
      </c>
      <c r="C156" s="1" t="n">
        <v>45928</v>
      </c>
      <c r="D156" t="inlineStr">
        <is>
          <t>ÖREBRO LÄN</t>
        </is>
      </c>
      <c r="E156" t="inlineStr">
        <is>
          <t>LEKEBERG</t>
        </is>
      </c>
      <c r="G156" t="n">
        <v>3.7</v>
      </c>
      <c r="H156" t="n">
        <v>0</v>
      </c>
      <c r="I156" t="n">
        <v>0</v>
      </c>
      <c r="J156" t="n">
        <v>0</v>
      </c>
      <c r="K156" t="n">
        <v>0</v>
      </c>
      <c r="L156" t="n">
        <v>0</v>
      </c>
      <c r="M156" t="n">
        <v>0</v>
      </c>
      <c r="N156" t="n">
        <v>0</v>
      </c>
      <c r="O156" t="n">
        <v>0</v>
      </c>
      <c r="P156" t="n">
        <v>0</v>
      </c>
      <c r="Q156" t="n">
        <v>0</v>
      </c>
      <c r="R156" s="2" t="inlineStr"/>
    </row>
    <row r="157" ht="15" customHeight="1">
      <c r="A157" t="inlineStr">
        <is>
          <t>A 15597-2025</t>
        </is>
      </c>
      <c r="B157" s="1" t="n">
        <v>45747.9108449074</v>
      </c>
      <c r="C157" s="1" t="n">
        <v>45928</v>
      </c>
      <c r="D157" t="inlineStr">
        <is>
          <t>ÖREBRO LÄN</t>
        </is>
      </c>
      <c r="E157" t="inlineStr">
        <is>
          <t>LEKEBERG</t>
        </is>
      </c>
      <c r="G157" t="n">
        <v>4.2</v>
      </c>
      <c r="H157" t="n">
        <v>0</v>
      </c>
      <c r="I157" t="n">
        <v>0</v>
      </c>
      <c r="J157" t="n">
        <v>0</v>
      </c>
      <c r="K157" t="n">
        <v>0</v>
      </c>
      <c r="L157" t="n">
        <v>0</v>
      </c>
      <c r="M157" t="n">
        <v>0</v>
      </c>
      <c r="N157" t="n">
        <v>0</v>
      </c>
      <c r="O157" t="n">
        <v>0</v>
      </c>
      <c r="P157" t="n">
        <v>0</v>
      </c>
      <c r="Q157" t="n">
        <v>0</v>
      </c>
      <c r="R157" s="2" t="inlineStr"/>
    </row>
    <row r="158" ht="15" customHeight="1">
      <c r="A158" t="inlineStr">
        <is>
          <t>A 10273-2023</t>
        </is>
      </c>
      <c r="B158" s="1" t="n">
        <v>44986</v>
      </c>
      <c r="C158" s="1" t="n">
        <v>45928</v>
      </c>
      <c r="D158" t="inlineStr">
        <is>
          <t>ÖREBRO LÄN</t>
        </is>
      </c>
      <c r="E158" t="inlineStr">
        <is>
          <t>LEKEBERG</t>
        </is>
      </c>
      <c r="G158" t="n">
        <v>12.8</v>
      </c>
      <c r="H158" t="n">
        <v>0</v>
      </c>
      <c r="I158" t="n">
        <v>0</v>
      </c>
      <c r="J158" t="n">
        <v>0</v>
      </c>
      <c r="K158" t="n">
        <v>0</v>
      </c>
      <c r="L158" t="n">
        <v>0</v>
      </c>
      <c r="M158" t="n">
        <v>0</v>
      </c>
      <c r="N158" t="n">
        <v>0</v>
      </c>
      <c r="O158" t="n">
        <v>0</v>
      </c>
      <c r="P158" t="n">
        <v>0</v>
      </c>
      <c r="Q158" t="n">
        <v>0</v>
      </c>
      <c r="R158" s="2" t="inlineStr"/>
    </row>
    <row r="159" ht="15" customHeight="1">
      <c r="A159" t="inlineStr">
        <is>
          <t>A 56267-2021</t>
        </is>
      </c>
      <c r="B159" s="1" t="n">
        <v>44479.61296296296</v>
      </c>
      <c r="C159" s="1" t="n">
        <v>45928</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50405-2024</t>
        </is>
      </c>
      <c r="B160" s="1" t="n">
        <v>45601.35753472222</v>
      </c>
      <c r="C160" s="1" t="n">
        <v>45928</v>
      </c>
      <c r="D160" t="inlineStr">
        <is>
          <t>ÖREBRO LÄN</t>
        </is>
      </c>
      <c r="E160" t="inlineStr">
        <is>
          <t>LEKEBERG</t>
        </is>
      </c>
      <c r="G160" t="n">
        <v>0.4</v>
      </c>
      <c r="H160" t="n">
        <v>0</v>
      </c>
      <c r="I160" t="n">
        <v>0</v>
      </c>
      <c r="J160" t="n">
        <v>0</v>
      </c>
      <c r="K160" t="n">
        <v>0</v>
      </c>
      <c r="L160" t="n">
        <v>0</v>
      </c>
      <c r="M160" t="n">
        <v>0</v>
      </c>
      <c r="N160" t="n">
        <v>0</v>
      </c>
      <c r="O160" t="n">
        <v>0</v>
      </c>
      <c r="P160" t="n">
        <v>0</v>
      </c>
      <c r="Q160" t="n">
        <v>0</v>
      </c>
      <c r="R160" s="2" t="inlineStr"/>
    </row>
    <row r="161" ht="15" customHeight="1">
      <c r="A161" t="inlineStr">
        <is>
          <t>A 28824-2024</t>
        </is>
      </c>
      <c r="B161" s="1" t="n">
        <v>45478</v>
      </c>
      <c r="C161" s="1" t="n">
        <v>45928</v>
      </c>
      <c r="D161" t="inlineStr">
        <is>
          <t>ÖREBRO LÄN</t>
        </is>
      </c>
      <c r="E161" t="inlineStr">
        <is>
          <t>LEKEBERG</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6757-2021</t>
        </is>
      </c>
      <c r="B162" s="1" t="n">
        <v>44236</v>
      </c>
      <c r="C162" s="1" t="n">
        <v>45928</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39867-2024</t>
        </is>
      </c>
      <c r="B163" s="1" t="n">
        <v>45553.46100694445</v>
      </c>
      <c r="C163" s="1" t="n">
        <v>45928</v>
      </c>
      <c r="D163" t="inlineStr">
        <is>
          <t>ÖREBRO LÄN</t>
        </is>
      </c>
      <c r="E163" t="inlineStr">
        <is>
          <t>LEKEBERG</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41350-2023</t>
        </is>
      </c>
      <c r="B164" s="1" t="n">
        <v>45174</v>
      </c>
      <c r="C164" s="1" t="n">
        <v>45928</v>
      </c>
      <c r="D164" t="inlineStr">
        <is>
          <t>ÖREBRO LÄN</t>
        </is>
      </c>
      <c r="E164" t="inlineStr">
        <is>
          <t>LEKEBERG</t>
        </is>
      </c>
      <c r="F164" t="inlineStr">
        <is>
          <t>Allmännings- och besparingsskogar</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2039-2025</t>
        </is>
      </c>
      <c r="B165" s="1" t="n">
        <v>45672</v>
      </c>
      <c r="C165" s="1" t="n">
        <v>45928</v>
      </c>
      <c r="D165" t="inlineStr">
        <is>
          <t>ÖREBRO LÄN</t>
        </is>
      </c>
      <c r="E165" t="inlineStr">
        <is>
          <t>LEKEBERG</t>
        </is>
      </c>
      <c r="G165" t="n">
        <v>1</v>
      </c>
      <c r="H165" t="n">
        <v>0</v>
      </c>
      <c r="I165" t="n">
        <v>0</v>
      </c>
      <c r="J165" t="n">
        <v>0</v>
      </c>
      <c r="K165" t="n">
        <v>0</v>
      </c>
      <c r="L165" t="n">
        <v>0</v>
      </c>
      <c r="M165" t="n">
        <v>0</v>
      </c>
      <c r="N165" t="n">
        <v>0</v>
      </c>
      <c r="O165" t="n">
        <v>0</v>
      </c>
      <c r="P165" t="n">
        <v>0</v>
      </c>
      <c r="Q165" t="n">
        <v>0</v>
      </c>
      <c r="R165" s="2" t="inlineStr"/>
    </row>
    <row r="166" ht="15" customHeight="1">
      <c r="A166" t="inlineStr">
        <is>
          <t>A 61314-2024</t>
        </is>
      </c>
      <c r="B166" s="1" t="n">
        <v>45646.31635416667</v>
      </c>
      <c r="C166" s="1" t="n">
        <v>45928</v>
      </c>
      <c r="D166" t="inlineStr">
        <is>
          <t>ÖREBRO LÄN</t>
        </is>
      </c>
      <c r="E166" t="inlineStr">
        <is>
          <t>LEKEBERG</t>
        </is>
      </c>
      <c r="G166" t="n">
        <v>1.9</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45928</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61470-2024</t>
        </is>
      </c>
      <c r="B168" s="1" t="n">
        <v>45646</v>
      </c>
      <c r="C168" s="1" t="n">
        <v>45928</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62160-2024</t>
        </is>
      </c>
      <c r="B169" s="1" t="n">
        <v>45656.80090277778</v>
      </c>
      <c r="C169" s="1" t="n">
        <v>45928</v>
      </c>
      <c r="D169" t="inlineStr">
        <is>
          <t>ÖREBRO LÄN</t>
        </is>
      </c>
      <c r="E169" t="inlineStr">
        <is>
          <t>LEKEBERG</t>
        </is>
      </c>
      <c r="G169" t="n">
        <v>0.9</v>
      </c>
      <c r="H169" t="n">
        <v>0</v>
      </c>
      <c r="I169" t="n">
        <v>0</v>
      </c>
      <c r="J169" t="n">
        <v>0</v>
      </c>
      <c r="K169" t="n">
        <v>0</v>
      </c>
      <c r="L169" t="n">
        <v>0</v>
      </c>
      <c r="M169" t="n">
        <v>0</v>
      </c>
      <c r="N169" t="n">
        <v>0</v>
      </c>
      <c r="O169" t="n">
        <v>0</v>
      </c>
      <c r="P169" t="n">
        <v>0</v>
      </c>
      <c r="Q169" t="n">
        <v>0</v>
      </c>
      <c r="R169" s="2" t="inlineStr"/>
    </row>
    <row r="170" ht="15" customHeight="1">
      <c r="A170" t="inlineStr">
        <is>
          <t>A 14169-2025</t>
        </is>
      </c>
      <c r="B170" s="1" t="n">
        <v>45740.51894675926</v>
      </c>
      <c r="C170" s="1" t="n">
        <v>45928</v>
      </c>
      <c r="D170" t="inlineStr">
        <is>
          <t>ÖREBRO LÄN</t>
        </is>
      </c>
      <c r="E170" t="inlineStr">
        <is>
          <t>LEKEBERG</t>
        </is>
      </c>
      <c r="G170" t="n">
        <v>2.5</v>
      </c>
      <c r="H170" t="n">
        <v>0</v>
      </c>
      <c r="I170" t="n">
        <v>0</v>
      </c>
      <c r="J170" t="n">
        <v>0</v>
      </c>
      <c r="K170" t="n">
        <v>0</v>
      </c>
      <c r="L170" t="n">
        <v>0</v>
      </c>
      <c r="M170" t="n">
        <v>0</v>
      </c>
      <c r="N170" t="n">
        <v>0</v>
      </c>
      <c r="O170" t="n">
        <v>0</v>
      </c>
      <c r="P170" t="n">
        <v>0</v>
      </c>
      <c r="Q170" t="n">
        <v>0</v>
      </c>
      <c r="R170" s="2" t="inlineStr"/>
    </row>
    <row r="171" ht="15" customHeight="1">
      <c r="A171" t="inlineStr">
        <is>
          <t>A 50104-2024</t>
        </is>
      </c>
      <c r="B171" s="1" t="n">
        <v>45600.40037037037</v>
      </c>
      <c r="C171" s="1" t="n">
        <v>45928</v>
      </c>
      <c r="D171" t="inlineStr">
        <is>
          <t>ÖREBRO LÄN</t>
        </is>
      </c>
      <c r="E171" t="inlineStr">
        <is>
          <t>LEKEBERG</t>
        </is>
      </c>
      <c r="G171" t="n">
        <v>2.1</v>
      </c>
      <c r="H171" t="n">
        <v>0</v>
      </c>
      <c r="I171" t="n">
        <v>0</v>
      </c>
      <c r="J171" t="n">
        <v>0</v>
      </c>
      <c r="K171" t="n">
        <v>0</v>
      </c>
      <c r="L171" t="n">
        <v>0</v>
      </c>
      <c r="M171" t="n">
        <v>0</v>
      </c>
      <c r="N171" t="n">
        <v>0</v>
      </c>
      <c r="O171" t="n">
        <v>0</v>
      </c>
      <c r="P171" t="n">
        <v>0</v>
      </c>
      <c r="Q171" t="n">
        <v>0</v>
      </c>
      <c r="R171" s="2" t="inlineStr"/>
    </row>
    <row r="172" ht="15" customHeight="1">
      <c r="A172" t="inlineStr">
        <is>
          <t>A 33336-2023</t>
        </is>
      </c>
      <c r="B172" s="1" t="n">
        <v>45128.33729166666</v>
      </c>
      <c r="C172" s="1" t="n">
        <v>45928</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33337-2023</t>
        </is>
      </c>
      <c r="B173" s="1" t="n">
        <v>45128.3400925926</v>
      </c>
      <c r="C173" s="1" t="n">
        <v>45928</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33334-2023</t>
        </is>
      </c>
      <c r="B174" s="1" t="n">
        <v>45128.33488425926</v>
      </c>
      <c r="C174" s="1" t="n">
        <v>45928</v>
      </c>
      <c r="D174" t="inlineStr">
        <is>
          <t>ÖREBRO LÄN</t>
        </is>
      </c>
      <c r="E174" t="inlineStr">
        <is>
          <t>LEKEBERG</t>
        </is>
      </c>
      <c r="G174" t="n">
        <v>1.7</v>
      </c>
      <c r="H174" t="n">
        <v>0</v>
      </c>
      <c r="I174" t="n">
        <v>0</v>
      </c>
      <c r="J174" t="n">
        <v>0</v>
      </c>
      <c r="K174" t="n">
        <v>0</v>
      </c>
      <c r="L174" t="n">
        <v>0</v>
      </c>
      <c r="M174" t="n">
        <v>0</v>
      </c>
      <c r="N174" t="n">
        <v>0</v>
      </c>
      <c r="O174" t="n">
        <v>0</v>
      </c>
      <c r="P174" t="n">
        <v>0</v>
      </c>
      <c r="Q174" t="n">
        <v>0</v>
      </c>
      <c r="R174" s="2" t="inlineStr"/>
    </row>
    <row r="175" ht="15" customHeight="1">
      <c r="A175" t="inlineStr">
        <is>
          <t>A 59036-2021</t>
        </is>
      </c>
      <c r="B175" s="1" t="n">
        <v>44490</v>
      </c>
      <c r="C175" s="1" t="n">
        <v>45928</v>
      </c>
      <c r="D175" t="inlineStr">
        <is>
          <t>ÖREBRO LÄN</t>
        </is>
      </c>
      <c r="E175" t="inlineStr">
        <is>
          <t>LEKEBERG</t>
        </is>
      </c>
      <c r="F175" t="inlineStr">
        <is>
          <t>Allmännings- och besparingsskogar</t>
        </is>
      </c>
      <c r="G175" t="n">
        <v>25.2</v>
      </c>
      <c r="H175" t="n">
        <v>0</v>
      </c>
      <c r="I175" t="n">
        <v>0</v>
      </c>
      <c r="J175" t="n">
        <v>0</v>
      </c>
      <c r="K175" t="n">
        <v>0</v>
      </c>
      <c r="L175" t="n">
        <v>0</v>
      </c>
      <c r="M175" t="n">
        <v>0</v>
      </c>
      <c r="N175" t="n">
        <v>0</v>
      </c>
      <c r="O175" t="n">
        <v>0</v>
      </c>
      <c r="P175" t="n">
        <v>0</v>
      </c>
      <c r="Q175" t="n">
        <v>0</v>
      </c>
      <c r="R175" s="2" t="inlineStr"/>
    </row>
    <row r="176" ht="15" customHeight="1">
      <c r="A176" t="inlineStr">
        <is>
          <t>A 1574-2025</t>
        </is>
      </c>
      <c r="B176" s="1" t="n">
        <v>45670.55908564815</v>
      </c>
      <c r="C176" s="1" t="n">
        <v>45928</v>
      </c>
      <c r="D176" t="inlineStr">
        <is>
          <t>ÖREBRO LÄN</t>
        </is>
      </c>
      <c r="E176" t="inlineStr">
        <is>
          <t>LEKEBERG</t>
        </is>
      </c>
      <c r="F176" t="inlineStr">
        <is>
          <t>Allmännings- och besparingsskogar</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55727-2024</t>
        </is>
      </c>
      <c r="B177" s="1" t="n">
        <v>45622.90070601852</v>
      </c>
      <c r="C177" s="1" t="n">
        <v>45928</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27947-2023</t>
        </is>
      </c>
      <c r="B178" s="1" t="n">
        <v>45098.66921296297</v>
      </c>
      <c r="C178" s="1" t="n">
        <v>45928</v>
      </c>
      <c r="D178" t="inlineStr">
        <is>
          <t>ÖREBRO LÄN</t>
        </is>
      </c>
      <c r="E178" t="inlineStr">
        <is>
          <t>LEKEBERG</t>
        </is>
      </c>
      <c r="G178" t="n">
        <v>0.5</v>
      </c>
      <c r="H178" t="n">
        <v>0</v>
      </c>
      <c r="I178" t="n">
        <v>0</v>
      </c>
      <c r="J178" t="n">
        <v>0</v>
      </c>
      <c r="K178" t="n">
        <v>0</v>
      </c>
      <c r="L178" t="n">
        <v>0</v>
      </c>
      <c r="M178" t="n">
        <v>0</v>
      </c>
      <c r="N178" t="n">
        <v>0</v>
      </c>
      <c r="O178" t="n">
        <v>0</v>
      </c>
      <c r="P178" t="n">
        <v>0</v>
      </c>
      <c r="Q178" t="n">
        <v>0</v>
      </c>
      <c r="R178" s="2" t="inlineStr"/>
    </row>
    <row r="179" ht="15" customHeight="1">
      <c r="A179" t="inlineStr">
        <is>
          <t>A 10274-2023</t>
        </is>
      </c>
      <c r="B179" s="1" t="n">
        <v>44986</v>
      </c>
      <c r="C179" s="1" t="n">
        <v>45928</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58548-2024</t>
        </is>
      </c>
      <c r="B180" s="1" t="n">
        <v>45635.45878472222</v>
      </c>
      <c r="C180" s="1" t="n">
        <v>45928</v>
      </c>
      <c r="D180" t="inlineStr">
        <is>
          <t>ÖREBRO LÄN</t>
        </is>
      </c>
      <c r="E180" t="inlineStr">
        <is>
          <t>LEKEBERG</t>
        </is>
      </c>
      <c r="G180" t="n">
        <v>6.3</v>
      </c>
      <c r="H180" t="n">
        <v>0</v>
      </c>
      <c r="I180" t="n">
        <v>0</v>
      </c>
      <c r="J180" t="n">
        <v>0</v>
      </c>
      <c r="K180" t="n">
        <v>0</v>
      </c>
      <c r="L180" t="n">
        <v>0</v>
      </c>
      <c r="M180" t="n">
        <v>0</v>
      </c>
      <c r="N180" t="n">
        <v>0</v>
      </c>
      <c r="O180" t="n">
        <v>0</v>
      </c>
      <c r="P180" t="n">
        <v>0</v>
      </c>
      <c r="Q180" t="n">
        <v>0</v>
      </c>
      <c r="R180" s="2" t="inlineStr"/>
    </row>
    <row r="181" ht="15" customHeight="1">
      <c r="A181" t="inlineStr">
        <is>
          <t>A 24055-2025</t>
        </is>
      </c>
      <c r="B181" s="1" t="n">
        <v>45796</v>
      </c>
      <c r="C181" s="1" t="n">
        <v>45928</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36516-2023</t>
        </is>
      </c>
      <c r="B182" s="1" t="n">
        <v>45153</v>
      </c>
      <c r="C182" s="1" t="n">
        <v>45928</v>
      </c>
      <c r="D182" t="inlineStr">
        <is>
          <t>ÖREBRO LÄN</t>
        </is>
      </c>
      <c r="E182" t="inlineStr">
        <is>
          <t>LEKEBERG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26863-2025</t>
        </is>
      </c>
      <c r="B183" s="1" t="n">
        <v>45810.69763888889</v>
      </c>
      <c r="C183" s="1" t="n">
        <v>45928</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4470-2022</t>
        </is>
      </c>
      <c r="B184" s="1" t="n">
        <v>44589</v>
      </c>
      <c r="C184" s="1" t="n">
        <v>45928</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13757-2025</t>
        </is>
      </c>
      <c r="B185" s="1" t="n">
        <v>45737.41730324074</v>
      </c>
      <c r="C185" s="1" t="n">
        <v>45928</v>
      </c>
      <c r="D185" t="inlineStr">
        <is>
          <t>ÖREBRO LÄN</t>
        </is>
      </c>
      <c r="E185" t="inlineStr">
        <is>
          <t>LEKEBERG</t>
        </is>
      </c>
      <c r="F185" t="inlineStr">
        <is>
          <t>Sveaskog</t>
        </is>
      </c>
      <c r="G185" t="n">
        <v>12.8</v>
      </c>
      <c r="H185" t="n">
        <v>0</v>
      </c>
      <c r="I185" t="n">
        <v>0</v>
      </c>
      <c r="J185" t="n">
        <v>0</v>
      </c>
      <c r="K185" t="n">
        <v>0</v>
      </c>
      <c r="L185" t="n">
        <v>0</v>
      </c>
      <c r="M185" t="n">
        <v>0</v>
      </c>
      <c r="N185" t="n">
        <v>0</v>
      </c>
      <c r="O185" t="n">
        <v>0</v>
      </c>
      <c r="P185" t="n">
        <v>0</v>
      </c>
      <c r="Q185" t="n">
        <v>0</v>
      </c>
      <c r="R185" s="2" t="inlineStr"/>
    </row>
    <row r="186" ht="15" customHeight="1">
      <c r="A186" t="inlineStr">
        <is>
          <t>A 38955-2023</t>
        </is>
      </c>
      <c r="B186" s="1" t="n">
        <v>45163</v>
      </c>
      <c r="C186" s="1" t="n">
        <v>45928</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7202-2023</t>
        </is>
      </c>
      <c r="B187" s="1" t="n">
        <v>44965</v>
      </c>
      <c r="C187" s="1" t="n">
        <v>45928</v>
      </c>
      <c r="D187" t="inlineStr">
        <is>
          <t>ÖREBRO LÄN</t>
        </is>
      </c>
      <c r="E187" t="inlineStr">
        <is>
          <t>LEKEBERG</t>
        </is>
      </c>
      <c r="G187" t="n">
        <v>2.6</v>
      </c>
      <c r="H187" t="n">
        <v>0</v>
      </c>
      <c r="I187" t="n">
        <v>0</v>
      </c>
      <c r="J187" t="n">
        <v>0</v>
      </c>
      <c r="K187" t="n">
        <v>0</v>
      </c>
      <c r="L187" t="n">
        <v>0</v>
      </c>
      <c r="M187" t="n">
        <v>0</v>
      </c>
      <c r="N187" t="n">
        <v>0</v>
      </c>
      <c r="O187" t="n">
        <v>0</v>
      </c>
      <c r="P187" t="n">
        <v>0</v>
      </c>
      <c r="Q187" t="n">
        <v>0</v>
      </c>
      <c r="R187" s="2" t="inlineStr"/>
    </row>
    <row r="188" ht="15" customHeight="1">
      <c r="A188" t="inlineStr">
        <is>
          <t>A 6843-2024</t>
        </is>
      </c>
      <c r="B188" s="1" t="n">
        <v>45342.62711805556</v>
      </c>
      <c r="C188" s="1" t="n">
        <v>45928</v>
      </c>
      <c r="D188" t="inlineStr">
        <is>
          <t>ÖREBRO LÄN</t>
        </is>
      </c>
      <c r="E188" t="inlineStr">
        <is>
          <t>LEKEBERG</t>
        </is>
      </c>
      <c r="G188" t="n">
        <v>4.4</v>
      </c>
      <c r="H188" t="n">
        <v>0</v>
      </c>
      <c r="I188" t="n">
        <v>0</v>
      </c>
      <c r="J188" t="n">
        <v>0</v>
      </c>
      <c r="K188" t="n">
        <v>0</v>
      </c>
      <c r="L188" t="n">
        <v>0</v>
      </c>
      <c r="M188" t="n">
        <v>0</v>
      </c>
      <c r="N188" t="n">
        <v>0</v>
      </c>
      <c r="O188" t="n">
        <v>0</v>
      </c>
      <c r="P188" t="n">
        <v>0</v>
      </c>
      <c r="Q188" t="n">
        <v>0</v>
      </c>
      <c r="R188" s="2" t="inlineStr"/>
    </row>
    <row r="189" ht="15" customHeight="1">
      <c r="A189" t="inlineStr">
        <is>
          <t>A 19044-2023</t>
        </is>
      </c>
      <c r="B189" s="1" t="n">
        <v>45047</v>
      </c>
      <c r="C189" s="1" t="n">
        <v>45928</v>
      </c>
      <c r="D189" t="inlineStr">
        <is>
          <t>ÖREBRO LÄN</t>
        </is>
      </c>
      <c r="E189" t="inlineStr">
        <is>
          <t>LEKEBERG</t>
        </is>
      </c>
      <c r="G189" t="n">
        <v>0.3</v>
      </c>
      <c r="H189" t="n">
        <v>0</v>
      </c>
      <c r="I189" t="n">
        <v>0</v>
      </c>
      <c r="J189" t="n">
        <v>0</v>
      </c>
      <c r="K189" t="n">
        <v>0</v>
      </c>
      <c r="L189" t="n">
        <v>0</v>
      </c>
      <c r="M189" t="n">
        <v>0</v>
      </c>
      <c r="N189" t="n">
        <v>0</v>
      </c>
      <c r="O189" t="n">
        <v>0</v>
      </c>
      <c r="P189" t="n">
        <v>0</v>
      </c>
      <c r="Q189" t="n">
        <v>0</v>
      </c>
      <c r="R189" s="2" t="inlineStr"/>
    </row>
    <row r="190" ht="15" customHeight="1">
      <c r="A190" t="inlineStr">
        <is>
          <t>A 61733-2024</t>
        </is>
      </c>
      <c r="B190" s="1" t="n">
        <v>45649.34486111111</v>
      </c>
      <c r="C190" s="1" t="n">
        <v>45928</v>
      </c>
      <c r="D190" t="inlineStr">
        <is>
          <t>ÖREBRO LÄN</t>
        </is>
      </c>
      <c r="E190" t="inlineStr">
        <is>
          <t>LEKEBERG</t>
        </is>
      </c>
      <c r="G190" t="n">
        <v>1.3</v>
      </c>
      <c r="H190" t="n">
        <v>0</v>
      </c>
      <c r="I190" t="n">
        <v>0</v>
      </c>
      <c r="J190" t="n">
        <v>0</v>
      </c>
      <c r="K190" t="n">
        <v>0</v>
      </c>
      <c r="L190" t="n">
        <v>0</v>
      </c>
      <c r="M190" t="n">
        <v>0</v>
      </c>
      <c r="N190" t="n">
        <v>0</v>
      </c>
      <c r="O190" t="n">
        <v>0</v>
      </c>
      <c r="P190" t="n">
        <v>0</v>
      </c>
      <c r="Q190" t="n">
        <v>0</v>
      </c>
      <c r="R190" s="2" t="inlineStr"/>
    </row>
    <row r="191" ht="15" customHeight="1">
      <c r="A191" t="inlineStr">
        <is>
          <t>A 29773-2025</t>
        </is>
      </c>
      <c r="B191" s="1" t="n">
        <v>45825.63271990741</v>
      </c>
      <c r="C191" s="1" t="n">
        <v>45928</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54990-2020</t>
        </is>
      </c>
      <c r="B192" s="1" t="n">
        <v>44123</v>
      </c>
      <c r="C192" s="1" t="n">
        <v>45928</v>
      </c>
      <c r="D192" t="inlineStr">
        <is>
          <t>ÖREBRO LÄN</t>
        </is>
      </c>
      <c r="E192" t="inlineStr">
        <is>
          <t>LEKEBERG</t>
        </is>
      </c>
      <c r="G192" t="n">
        <v>2.2</v>
      </c>
      <c r="H192" t="n">
        <v>0</v>
      </c>
      <c r="I192" t="n">
        <v>0</v>
      </c>
      <c r="J192" t="n">
        <v>0</v>
      </c>
      <c r="K192" t="n">
        <v>0</v>
      </c>
      <c r="L192" t="n">
        <v>0</v>
      </c>
      <c r="M192" t="n">
        <v>0</v>
      </c>
      <c r="N192" t="n">
        <v>0</v>
      </c>
      <c r="O192" t="n">
        <v>0</v>
      </c>
      <c r="P192" t="n">
        <v>0</v>
      </c>
      <c r="Q192" t="n">
        <v>0</v>
      </c>
      <c r="R192" s="2" t="inlineStr"/>
    </row>
    <row r="193" ht="15" customHeight="1">
      <c r="A193" t="inlineStr">
        <is>
          <t>A 10787-2023</t>
        </is>
      </c>
      <c r="B193" s="1" t="n">
        <v>44989</v>
      </c>
      <c r="C193" s="1" t="n">
        <v>45928</v>
      </c>
      <c r="D193" t="inlineStr">
        <is>
          <t>ÖREBRO LÄN</t>
        </is>
      </c>
      <c r="E193" t="inlineStr">
        <is>
          <t>LEKEBERG</t>
        </is>
      </c>
      <c r="G193" t="n">
        <v>5</v>
      </c>
      <c r="H193" t="n">
        <v>0</v>
      </c>
      <c r="I193" t="n">
        <v>0</v>
      </c>
      <c r="J193" t="n">
        <v>0</v>
      </c>
      <c r="K193" t="n">
        <v>0</v>
      </c>
      <c r="L193" t="n">
        <v>0</v>
      </c>
      <c r="M193" t="n">
        <v>0</v>
      </c>
      <c r="N193" t="n">
        <v>0</v>
      </c>
      <c r="O193" t="n">
        <v>0</v>
      </c>
      <c r="P193" t="n">
        <v>0</v>
      </c>
      <c r="Q193" t="n">
        <v>0</v>
      </c>
      <c r="R193" s="2" t="inlineStr"/>
    </row>
    <row r="194" ht="15" customHeight="1">
      <c r="A194" t="inlineStr">
        <is>
          <t>A 10791-2023</t>
        </is>
      </c>
      <c r="B194" s="1" t="n">
        <v>44989</v>
      </c>
      <c r="C194" s="1" t="n">
        <v>45928</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33204-2025</t>
        </is>
      </c>
      <c r="B195" s="1" t="n">
        <v>45840.61181712963</v>
      </c>
      <c r="C195" s="1" t="n">
        <v>45928</v>
      </c>
      <c r="D195" t="inlineStr">
        <is>
          <t>ÖREBRO LÄN</t>
        </is>
      </c>
      <c r="E195" t="inlineStr">
        <is>
          <t>LEKEBERG</t>
        </is>
      </c>
      <c r="G195" t="n">
        <v>1</v>
      </c>
      <c r="H195" t="n">
        <v>0</v>
      </c>
      <c r="I195" t="n">
        <v>0</v>
      </c>
      <c r="J195" t="n">
        <v>0</v>
      </c>
      <c r="K195" t="n">
        <v>0</v>
      </c>
      <c r="L195" t="n">
        <v>0</v>
      </c>
      <c r="M195" t="n">
        <v>0</v>
      </c>
      <c r="N195" t="n">
        <v>0</v>
      </c>
      <c r="O195" t="n">
        <v>0</v>
      </c>
      <c r="P195" t="n">
        <v>0</v>
      </c>
      <c r="Q195" t="n">
        <v>0</v>
      </c>
      <c r="R195" s="2" t="inlineStr"/>
    </row>
    <row r="196" ht="15" customHeight="1">
      <c r="A196" t="inlineStr">
        <is>
          <t>A 30722-2023</t>
        </is>
      </c>
      <c r="B196" s="1" t="n">
        <v>45112</v>
      </c>
      <c r="C196" s="1" t="n">
        <v>45928</v>
      </c>
      <c r="D196" t="inlineStr">
        <is>
          <t>ÖREBRO LÄN</t>
        </is>
      </c>
      <c r="E196" t="inlineStr">
        <is>
          <t>LEKEBERG</t>
        </is>
      </c>
      <c r="F196" t="inlineStr">
        <is>
          <t>Allmännings- och besparingsskogar</t>
        </is>
      </c>
      <c r="G196" t="n">
        <v>21.2</v>
      </c>
      <c r="H196" t="n">
        <v>0</v>
      </c>
      <c r="I196" t="n">
        <v>0</v>
      </c>
      <c r="J196" t="n">
        <v>0</v>
      </c>
      <c r="K196" t="n">
        <v>0</v>
      </c>
      <c r="L196" t="n">
        <v>0</v>
      </c>
      <c r="M196" t="n">
        <v>0</v>
      </c>
      <c r="N196" t="n">
        <v>0</v>
      </c>
      <c r="O196" t="n">
        <v>0</v>
      </c>
      <c r="P196" t="n">
        <v>0</v>
      </c>
      <c r="Q196" t="n">
        <v>0</v>
      </c>
      <c r="R196" s="2" t="inlineStr"/>
    </row>
    <row r="197" ht="15" customHeight="1">
      <c r="A197" t="inlineStr">
        <is>
          <t>A 47902-2023</t>
        </is>
      </c>
      <c r="B197" s="1" t="n">
        <v>45204.49861111111</v>
      </c>
      <c r="C197" s="1" t="n">
        <v>45928</v>
      </c>
      <c r="D197" t="inlineStr">
        <is>
          <t>ÖREBRO LÄN</t>
        </is>
      </c>
      <c r="E197" t="inlineStr">
        <is>
          <t>LEKEBERG</t>
        </is>
      </c>
      <c r="G197" t="n">
        <v>1.5</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45928</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22137-2022</t>
        </is>
      </c>
      <c r="B199" s="1" t="n">
        <v>44712</v>
      </c>
      <c r="C199" s="1" t="n">
        <v>45928</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26763-2023</t>
        </is>
      </c>
      <c r="B200" s="1" t="n">
        <v>45093.46813657408</v>
      </c>
      <c r="C200" s="1" t="n">
        <v>45928</v>
      </c>
      <c r="D200" t="inlineStr">
        <is>
          <t>ÖREBRO LÄN</t>
        </is>
      </c>
      <c r="E200" t="inlineStr">
        <is>
          <t>LEKEBERG</t>
        </is>
      </c>
      <c r="G200" t="n">
        <v>2.1</v>
      </c>
      <c r="H200" t="n">
        <v>0</v>
      </c>
      <c r="I200" t="n">
        <v>0</v>
      </c>
      <c r="J200" t="n">
        <v>0</v>
      </c>
      <c r="K200" t="n">
        <v>0</v>
      </c>
      <c r="L200" t="n">
        <v>0</v>
      </c>
      <c r="M200" t="n">
        <v>0</v>
      </c>
      <c r="N200" t="n">
        <v>0</v>
      </c>
      <c r="O200" t="n">
        <v>0</v>
      </c>
      <c r="P200" t="n">
        <v>0</v>
      </c>
      <c r="Q200" t="n">
        <v>0</v>
      </c>
      <c r="R200" s="2" t="inlineStr"/>
    </row>
    <row r="201" ht="15" customHeight="1">
      <c r="A201" t="inlineStr">
        <is>
          <t>A 10617-2022</t>
        </is>
      </c>
      <c r="B201" s="1" t="n">
        <v>44624</v>
      </c>
      <c r="C201" s="1" t="n">
        <v>45928</v>
      </c>
      <c r="D201" t="inlineStr">
        <is>
          <t>ÖREBRO LÄN</t>
        </is>
      </c>
      <c r="E201" t="inlineStr">
        <is>
          <t>LEKEBERG</t>
        </is>
      </c>
      <c r="G201" t="n">
        <v>7.9</v>
      </c>
      <c r="H201" t="n">
        <v>0</v>
      </c>
      <c r="I201" t="n">
        <v>0</v>
      </c>
      <c r="J201" t="n">
        <v>0</v>
      </c>
      <c r="K201" t="n">
        <v>0</v>
      </c>
      <c r="L201" t="n">
        <v>0</v>
      </c>
      <c r="M201" t="n">
        <v>0</v>
      </c>
      <c r="N201" t="n">
        <v>0</v>
      </c>
      <c r="O201" t="n">
        <v>0</v>
      </c>
      <c r="P201" t="n">
        <v>0</v>
      </c>
      <c r="Q201" t="n">
        <v>0</v>
      </c>
      <c r="R201" s="2" t="inlineStr"/>
    </row>
    <row r="202" ht="15" customHeight="1">
      <c r="A202" t="inlineStr">
        <is>
          <t>A 12616-2025</t>
        </is>
      </c>
      <c r="B202" s="1" t="n">
        <v>45733</v>
      </c>
      <c r="C202" s="1" t="n">
        <v>45928</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22198-2023</t>
        </is>
      </c>
      <c r="B203" s="1" t="n">
        <v>45069.78799768518</v>
      </c>
      <c r="C203" s="1" t="n">
        <v>45928</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27638-2025</t>
        </is>
      </c>
      <c r="B204" s="1" t="n">
        <v>45813</v>
      </c>
      <c r="C204" s="1" t="n">
        <v>45928</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35101-2025</t>
        </is>
      </c>
      <c r="B205" s="1" t="n">
        <v>45852.56694444444</v>
      </c>
      <c r="C205" s="1" t="n">
        <v>45928</v>
      </c>
      <c r="D205" t="inlineStr">
        <is>
          <t>ÖREBRO LÄN</t>
        </is>
      </c>
      <c r="E205" t="inlineStr">
        <is>
          <t>LEKEBERG</t>
        </is>
      </c>
      <c r="F205" t="inlineStr">
        <is>
          <t>Allmännings- och besparingsskogar</t>
        </is>
      </c>
      <c r="G205" t="n">
        <v>5.4</v>
      </c>
      <c r="H205" t="n">
        <v>0</v>
      </c>
      <c r="I205" t="n">
        <v>0</v>
      </c>
      <c r="J205" t="n">
        <v>0</v>
      </c>
      <c r="K205" t="n">
        <v>0</v>
      </c>
      <c r="L205" t="n">
        <v>0</v>
      </c>
      <c r="M205" t="n">
        <v>0</v>
      </c>
      <c r="N205" t="n">
        <v>0</v>
      </c>
      <c r="O205" t="n">
        <v>0</v>
      </c>
      <c r="P205" t="n">
        <v>0</v>
      </c>
      <c r="Q205" t="n">
        <v>0</v>
      </c>
      <c r="R205" s="2" t="inlineStr"/>
    </row>
    <row r="206" ht="15" customHeight="1">
      <c r="A206" t="inlineStr">
        <is>
          <t>A 9769-2025</t>
        </is>
      </c>
      <c r="B206" s="1" t="n">
        <v>45716.48861111111</v>
      </c>
      <c r="C206" s="1" t="n">
        <v>45928</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46877-2022</t>
        </is>
      </c>
      <c r="B207" s="1" t="n">
        <v>44848</v>
      </c>
      <c r="C207" s="1" t="n">
        <v>45928</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16914-2022</t>
        </is>
      </c>
      <c r="B208" s="1" t="n">
        <v>44676.43390046297</v>
      </c>
      <c r="C208" s="1" t="n">
        <v>45928</v>
      </c>
      <c r="D208" t="inlineStr">
        <is>
          <t>ÖREBRO LÄN</t>
        </is>
      </c>
      <c r="E208" t="inlineStr">
        <is>
          <t>LEKEBERG</t>
        </is>
      </c>
      <c r="G208" t="n">
        <v>2.6</v>
      </c>
      <c r="H208" t="n">
        <v>0</v>
      </c>
      <c r="I208" t="n">
        <v>0</v>
      </c>
      <c r="J208" t="n">
        <v>0</v>
      </c>
      <c r="K208" t="n">
        <v>0</v>
      </c>
      <c r="L208" t="n">
        <v>0</v>
      </c>
      <c r="M208" t="n">
        <v>0</v>
      </c>
      <c r="N208" t="n">
        <v>0</v>
      </c>
      <c r="O208" t="n">
        <v>0</v>
      </c>
      <c r="P208" t="n">
        <v>0</v>
      </c>
      <c r="Q208" t="n">
        <v>0</v>
      </c>
      <c r="R208" s="2" t="inlineStr"/>
    </row>
    <row r="209" ht="15" customHeight="1">
      <c r="A209" t="inlineStr">
        <is>
          <t>A 12596-2025</t>
        </is>
      </c>
      <c r="B209" s="1" t="n">
        <v>45733.28476851852</v>
      </c>
      <c r="C209" s="1" t="n">
        <v>45928</v>
      </c>
      <c r="D209" t="inlineStr">
        <is>
          <t>ÖREBRO LÄN</t>
        </is>
      </c>
      <c r="E209" t="inlineStr">
        <is>
          <t>LEKEBERG</t>
        </is>
      </c>
      <c r="G209" t="n">
        <v>1.6</v>
      </c>
      <c r="H209" t="n">
        <v>0</v>
      </c>
      <c r="I209" t="n">
        <v>0</v>
      </c>
      <c r="J209" t="n">
        <v>0</v>
      </c>
      <c r="K209" t="n">
        <v>0</v>
      </c>
      <c r="L209" t="n">
        <v>0</v>
      </c>
      <c r="M209" t="n">
        <v>0</v>
      </c>
      <c r="N209" t="n">
        <v>0</v>
      </c>
      <c r="O209" t="n">
        <v>0</v>
      </c>
      <c r="P209" t="n">
        <v>0</v>
      </c>
      <c r="Q209" t="n">
        <v>0</v>
      </c>
      <c r="R209" s="2" t="inlineStr"/>
    </row>
    <row r="210" ht="15" customHeight="1">
      <c r="A210" t="inlineStr">
        <is>
          <t>A 18274-2024</t>
        </is>
      </c>
      <c r="B210" s="1" t="n">
        <v>45421.70460648148</v>
      </c>
      <c r="C210" s="1" t="n">
        <v>45928</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20800-2024</t>
        </is>
      </c>
      <c r="B211" s="1" t="n">
        <v>45438</v>
      </c>
      <c r="C211" s="1" t="n">
        <v>45928</v>
      </c>
      <c r="D211" t="inlineStr">
        <is>
          <t>ÖREBRO LÄN</t>
        </is>
      </c>
      <c r="E211" t="inlineStr">
        <is>
          <t>LEKEBERG</t>
        </is>
      </c>
      <c r="G211" t="n">
        <v>3.6</v>
      </c>
      <c r="H211" t="n">
        <v>0</v>
      </c>
      <c r="I211" t="n">
        <v>0</v>
      </c>
      <c r="J211" t="n">
        <v>0</v>
      </c>
      <c r="K211" t="n">
        <v>0</v>
      </c>
      <c r="L211" t="n">
        <v>0</v>
      </c>
      <c r="M211" t="n">
        <v>0</v>
      </c>
      <c r="N211" t="n">
        <v>0</v>
      </c>
      <c r="O211" t="n">
        <v>0</v>
      </c>
      <c r="P211" t="n">
        <v>0</v>
      </c>
      <c r="Q211" t="n">
        <v>0</v>
      </c>
      <c r="R211" s="2" t="inlineStr"/>
    </row>
    <row r="212" ht="15" customHeight="1">
      <c r="A212" t="inlineStr">
        <is>
          <t>A 11289-2025</t>
        </is>
      </c>
      <c r="B212" s="1" t="n">
        <v>45726.42762731481</v>
      </c>
      <c r="C212" s="1" t="n">
        <v>45928</v>
      </c>
      <c r="D212" t="inlineStr">
        <is>
          <t>ÖREBRO LÄN</t>
        </is>
      </c>
      <c r="E212" t="inlineStr">
        <is>
          <t>LEKEBERG</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5313-2024</t>
        </is>
      </c>
      <c r="B213" s="1" t="n">
        <v>45331.39503472222</v>
      </c>
      <c r="C213" s="1" t="n">
        <v>45928</v>
      </c>
      <c r="D213" t="inlineStr">
        <is>
          <t>ÖREBRO LÄN</t>
        </is>
      </c>
      <c r="E213" t="inlineStr">
        <is>
          <t>LEKEBERG</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12516-2025</t>
        </is>
      </c>
      <c r="B214" s="1" t="n">
        <v>45730.65107638889</v>
      </c>
      <c r="C214" s="1" t="n">
        <v>45928</v>
      </c>
      <c r="D214" t="inlineStr">
        <is>
          <t>ÖREBRO LÄN</t>
        </is>
      </c>
      <c r="E214" t="inlineStr">
        <is>
          <t>LEKEBERG</t>
        </is>
      </c>
      <c r="F214" t="inlineStr">
        <is>
          <t>Allmännings- och besparingsskogar</t>
        </is>
      </c>
      <c r="G214" t="n">
        <v>4.8</v>
      </c>
      <c r="H214" t="n">
        <v>0</v>
      </c>
      <c r="I214" t="n">
        <v>0</v>
      </c>
      <c r="J214" t="n">
        <v>0</v>
      </c>
      <c r="K214" t="n">
        <v>0</v>
      </c>
      <c r="L214" t="n">
        <v>0</v>
      </c>
      <c r="M214" t="n">
        <v>0</v>
      </c>
      <c r="N214" t="n">
        <v>0</v>
      </c>
      <c r="O214" t="n">
        <v>0</v>
      </c>
      <c r="P214" t="n">
        <v>0</v>
      </c>
      <c r="Q214" t="n">
        <v>0</v>
      </c>
      <c r="R214" s="2" t="inlineStr"/>
    </row>
    <row r="215" ht="15" customHeight="1">
      <c r="A215" t="inlineStr">
        <is>
          <t>A 30754-2022</t>
        </is>
      </c>
      <c r="B215" s="1" t="n">
        <v>44764</v>
      </c>
      <c r="C215" s="1" t="n">
        <v>45928</v>
      </c>
      <c r="D215" t="inlineStr">
        <is>
          <t>ÖREBRO LÄN</t>
        </is>
      </c>
      <c r="E215" t="inlineStr">
        <is>
          <t>LEKEBERG</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6101-2024</t>
        </is>
      </c>
      <c r="B216" s="1" t="n">
        <v>45337</v>
      </c>
      <c r="C216" s="1" t="n">
        <v>45928</v>
      </c>
      <c r="D216" t="inlineStr">
        <is>
          <t>ÖREBRO LÄN</t>
        </is>
      </c>
      <c r="E216" t="inlineStr">
        <is>
          <t>LEKEBERG</t>
        </is>
      </c>
      <c r="G216" t="n">
        <v>4.2</v>
      </c>
      <c r="H216" t="n">
        <v>0</v>
      </c>
      <c r="I216" t="n">
        <v>0</v>
      </c>
      <c r="J216" t="n">
        <v>0</v>
      </c>
      <c r="K216" t="n">
        <v>0</v>
      </c>
      <c r="L216" t="n">
        <v>0</v>
      </c>
      <c r="M216" t="n">
        <v>0</v>
      </c>
      <c r="N216" t="n">
        <v>0</v>
      </c>
      <c r="O216" t="n">
        <v>0</v>
      </c>
      <c r="P216" t="n">
        <v>0</v>
      </c>
      <c r="Q216" t="n">
        <v>0</v>
      </c>
      <c r="R216" s="2" t="inlineStr"/>
    </row>
    <row r="217">
      <c r="A217" t="inlineStr">
        <is>
          <t>A 18272-2024</t>
        </is>
      </c>
      <c r="B217" s="1" t="n">
        <v>45421.69873842593</v>
      </c>
      <c r="C217" s="1" t="n">
        <v>45928</v>
      </c>
      <c r="D217" t="inlineStr">
        <is>
          <t>ÖREBRO LÄN</t>
        </is>
      </c>
      <c r="E217" t="inlineStr">
        <is>
          <t>LEKEBERG</t>
        </is>
      </c>
      <c r="G217" t="n">
        <v>0.4</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2025-09-28T12:18:21Z</dcterms:created>
  <dcterms:modified xmlns:dcterms="http://purl.org/dc/terms/" xmlns:xsi="http://www.w3.org/2001/XMLSchema-instance" xsi:type="dcterms:W3CDTF">2025-09-28T12:18:21Z</dcterms:modified>
</cp:coreProperties>
</file>