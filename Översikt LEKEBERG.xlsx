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45900</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45900</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45900</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45900</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45900</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45900</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45900</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45900</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45900</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45900</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45900</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45900</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45900</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45900</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45900</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45900</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45900</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45900</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45900</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45900</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45900</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45900</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45900</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45900</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45900</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45900</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45900</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45900</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45900</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45900</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45900</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45900</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45900</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45900</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45900</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45900</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45900</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45900</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45900</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45900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45900</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45900</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45900</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45900</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45900</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45900</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45900</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45900</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45900</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45900</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45900</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45900</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45900</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45900</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56635-2022</t>
        </is>
      </c>
      <c r="B64" s="1" t="n">
        <v>44893</v>
      </c>
      <c r="C64" s="1" t="n">
        <v>45900</v>
      </c>
      <c r="D64" t="inlineStr">
        <is>
          <t>ÖREBRO LÄN</t>
        </is>
      </c>
      <c r="E64" t="inlineStr">
        <is>
          <t>LEKEBERG</t>
        </is>
      </c>
      <c r="G64" t="n">
        <v>3</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45900</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45900</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2039-2025</t>
        </is>
      </c>
      <c r="B67" s="1" t="n">
        <v>45672</v>
      </c>
      <c r="C67" s="1" t="n">
        <v>45900</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61314-2024</t>
        </is>
      </c>
      <c r="B68" s="1" t="n">
        <v>45646.31635416667</v>
      </c>
      <c r="C68" s="1" t="n">
        <v>45900</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26702-2023</t>
        </is>
      </c>
      <c r="B69" s="1" t="n">
        <v>45093</v>
      </c>
      <c r="C69" s="1" t="n">
        <v>45900</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45900</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45900</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45900</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21042-2023</t>
        </is>
      </c>
      <c r="B73" s="1" t="n">
        <v>45056</v>
      </c>
      <c r="C73" s="1" t="n">
        <v>45900</v>
      </c>
      <c r="D73" t="inlineStr">
        <is>
          <t>ÖREBRO LÄN</t>
        </is>
      </c>
      <c r="E73" t="inlineStr">
        <is>
          <t>LEKEBERG</t>
        </is>
      </c>
      <c r="G73" t="n">
        <v>1</v>
      </c>
      <c r="H73" t="n">
        <v>0</v>
      </c>
      <c r="I73" t="n">
        <v>0</v>
      </c>
      <c r="J73" t="n">
        <v>0</v>
      </c>
      <c r="K73" t="n">
        <v>0</v>
      </c>
      <c r="L73" t="n">
        <v>0</v>
      </c>
      <c r="M73" t="n">
        <v>0</v>
      </c>
      <c r="N73" t="n">
        <v>0</v>
      </c>
      <c r="O73" t="n">
        <v>0</v>
      </c>
      <c r="P73" t="n">
        <v>0</v>
      </c>
      <c r="Q73" t="n">
        <v>0</v>
      </c>
      <c r="R73" s="2" t="inlineStr"/>
    </row>
    <row r="74" ht="15" customHeight="1">
      <c r="A74" t="inlineStr">
        <is>
          <t>A 14353-2024</t>
        </is>
      </c>
      <c r="B74" s="1" t="n">
        <v>45393.83645833333</v>
      </c>
      <c r="C74" s="1" t="n">
        <v>45900</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45900</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62160-2024</t>
        </is>
      </c>
      <c r="B76" s="1" t="n">
        <v>45656.80090277778</v>
      </c>
      <c r="C76" s="1" t="n">
        <v>45900</v>
      </c>
      <c r="D76" t="inlineStr">
        <is>
          <t>ÖREBRO LÄN</t>
        </is>
      </c>
      <c r="E76" t="inlineStr">
        <is>
          <t>LEKEBERG</t>
        </is>
      </c>
      <c r="G76" t="n">
        <v>0.9</v>
      </c>
      <c r="H76" t="n">
        <v>0</v>
      </c>
      <c r="I76" t="n">
        <v>0</v>
      </c>
      <c r="J76" t="n">
        <v>0</v>
      </c>
      <c r="K76" t="n">
        <v>0</v>
      </c>
      <c r="L76" t="n">
        <v>0</v>
      </c>
      <c r="M76" t="n">
        <v>0</v>
      </c>
      <c r="N76" t="n">
        <v>0</v>
      </c>
      <c r="O76" t="n">
        <v>0</v>
      </c>
      <c r="P76" t="n">
        <v>0</v>
      </c>
      <c r="Q76" t="n">
        <v>0</v>
      </c>
      <c r="R76" s="2" t="inlineStr"/>
    </row>
    <row r="77" ht="15" customHeight="1">
      <c r="A77" t="inlineStr">
        <is>
          <t>A 58935-2023</t>
        </is>
      </c>
      <c r="B77" s="1" t="n">
        <v>45250</v>
      </c>
      <c r="C77" s="1" t="n">
        <v>45900</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14734-2024</t>
        </is>
      </c>
      <c r="B78" s="1" t="n">
        <v>45397.5890625</v>
      </c>
      <c r="C78" s="1" t="n">
        <v>45900</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36516-2023</t>
        </is>
      </c>
      <c r="B79" s="1" t="n">
        <v>45153</v>
      </c>
      <c r="C79" s="1" t="n">
        <v>45900</v>
      </c>
      <c r="D79" t="inlineStr">
        <is>
          <t>ÖREBRO LÄN</t>
        </is>
      </c>
      <c r="E79" t="inlineStr">
        <is>
          <t>LEKEBERG</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33259-2023</t>
        </is>
      </c>
      <c r="B80" s="1" t="n">
        <v>45127.56025462963</v>
      </c>
      <c r="C80" s="1" t="n">
        <v>45900</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45900</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45900</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4470-2022</t>
        </is>
      </c>
      <c r="B83" s="1" t="n">
        <v>44589</v>
      </c>
      <c r="C83" s="1" t="n">
        <v>45900</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13757-2025</t>
        </is>
      </c>
      <c r="B84" s="1" t="n">
        <v>45737.41730324074</v>
      </c>
      <c r="C84" s="1" t="n">
        <v>45900</v>
      </c>
      <c r="D84" t="inlineStr">
        <is>
          <t>ÖREBRO LÄN</t>
        </is>
      </c>
      <c r="E84" t="inlineStr">
        <is>
          <t>LEKEBERG</t>
        </is>
      </c>
      <c r="F84" t="inlineStr">
        <is>
          <t>Sveaskog</t>
        </is>
      </c>
      <c r="G84" t="n">
        <v>12.8</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45900</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45900</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45900</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38955-2023</t>
        </is>
      </c>
      <c r="B88" s="1" t="n">
        <v>45163</v>
      </c>
      <c r="C88" s="1" t="n">
        <v>45900</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7202-2023</t>
        </is>
      </c>
      <c r="B89" s="1" t="n">
        <v>44965</v>
      </c>
      <c r="C89" s="1" t="n">
        <v>45900</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6843-2024</t>
        </is>
      </c>
      <c r="B90" s="1" t="n">
        <v>45342.62711805556</v>
      </c>
      <c r="C90" s="1" t="n">
        <v>45900</v>
      </c>
      <c r="D90" t="inlineStr">
        <is>
          <t>ÖREBRO LÄN</t>
        </is>
      </c>
      <c r="E90" t="inlineStr">
        <is>
          <t>LEKEBERG</t>
        </is>
      </c>
      <c r="G90" t="n">
        <v>4.4</v>
      </c>
      <c r="H90" t="n">
        <v>0</v>
      </c>
      <c r="I90" t="n">
        <v>0</v>
      </c>
      <c r="J90" t="n">
        <v>0</v>
      </c>
      <c r="K90" t="n">
        <v>0</v>
      </c>
      <c r="L90" t="n">
        <v>0</v>
      </c>
      <c r="M90" t="n">
        <v>0</v>
      </c>
      <c r="N90" t="n">
        <v>0</v>
      </c>
      <c r="O90" t="n">
        <v>0</v>
      </c>
      <c r="P90" t="n">
        <v>0</v>
      </c>
      <c r="Q90" t="n">
        <v>0</v>
      </c>
      <c r="R90" s="2" t="inlineStr"/>
    </row>
    <row r="91" ht="15" customHeight="1">
      <c r="A91" t="inlineStr">
        <is>
          <t>A 46779-2024</t>
        </is>
      </c>
      <c r="B91" s="1" t="n">
        <v>45583</v>
      </c>
      <c r="C91" s="1" t="n">
        <v>45900</v>
      </c>
      <c r="D91" t="inlineStr">
        <is>
          <t>ÖREBRO LÄN</t>
        </is>
      </c>
      <c r="E91" t="inlineStr">
        <is>
          <t>LEKEBERG</t>
        </is>
      </c>
      <c r="G91" t="n">
        <v>0.9</v>
      </c>
      <c r="H91" t="n">
        <v>0</v>
      </c>
      <c r="I91" t="n">
        <v>0</v>
      </c>
      <c r="J91" t="n">
        <v>0</v>
      </c>
      <c r="K91" t="n">
        <v>0</v>
      </c>
      <c r="L91" t="n">
        <v>0</v>
      </c>
      <c r="M91" t="n">
        <v>0</v>
      </c>
      <c r="N91" t="n">
        <v>0</v>
      </c>
      <c r="O91" t="n">
        <v>0</v>
      </c>
      <c r="P91" t="n">
        <v>0</v>
      </c>
      <c r="Q91" t="n">
        <v>0</v>
      </c>
      <c r="R91" s="2" t="inlineStr"/>
    </row>
    <row r="92" ht="15" customHeight="1">
      <c r="A92" t="inlineStr">
        <is>
          <t>A 55727-2024</t>
        </is>
      </c>
      <c r="B92" s="1" t="n">
        <v>45622.90070601852</v>
      </c>
      <c r="C92" s="1" t="n">
        <v>45900</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19044-2023</t>
        </is>
      </c>
      <c r="B93" s="1" t="n">
        <v>45047</v>
      </c>
      <c r="C93" s="1" t="n">
        <v>45900</v>
      </c>
      <c r="D93" t="inlineStr">
        <is>
          <t>ÖREBRO LÄN</t>
        </is>
      </c>
      <c r="E93" t="inlineStr">
        <is>
          <t>LEKEBERG</t>
        </is>
      </c>
      <c r="G93" t="n">
        <v>0.3</v>
      </c>
      <c r="H93" t="n">
        <v>0</v>
      </c>
      <c r="I93" t="n">
        <v>0</v>
      </c>
      <c r="J93" t="n">
        <v>0</v>
      </c>
      <c r="K93" t="n">
        <v>0</v>
      </c>
      <c r="L93" t="n">
        <v>0</v>
      </c>
      <c r="M93" t="n">
        <v>0</v>
      </c>
      <c r="N93" t="n">
        <v>0</v>
      </c>
      <c r="O93" t="n">
        <v>0</v>
      </c>
      <c r="P93" t="n">
        <v>0</v>
      </c>
      <c r="Q93" t="n">
        <v>0</v>
      </c>
      <c r="R93" s="2" t="inlineStr"/>
    </row>
    <row r="94" ht="15" customHeight="1">
      <c r="A94" t="inlineStr">
        <is>
          <t>A 10274-2023</t>
        </is>
      </c>
      <c r="B94" s="1" t="n">
        <v>44986</v>
      </c>
      <c r="C94" s="1" t="n">
        <v>45900</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5559-2024</t>
        </is>
      </c>
      <c r="B95" s="1" t="n">
        <v>45334</v>
      </c>
      <c r="C95" s="1" t="n">
        <v>45900</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61733-2024</t>
        </is>
      </c>
      <c r="B96" s="1" t="n">
        <v>45649.34486111111</v>
      </c>
      <c r="C96" s="1" t="n">
        <v>45900</v>
      </c>
      <c r="D96" t="inlineStr">
        <is>
          <t>ÖREBRO LÄN</t>
        </is>
      </c>
      <c r="E96" t="inlineStr">
        <is>
          <t>LEKEBERG</t>
        </is>
      </c>
      <c r="G96" t="n">
        <v>1.3</v>
      </c>
      <c r="H96" t="n">
        <v>0</v>
      </c>
      <c r="I96" t="n">
        <v>0</v>
      </c>
      <c r="J96" t="n">
        <v>0</v>
      </c>
      <c r="K96" t="n">
        <v>0</v>
      </c>
      <c r="L96" t="n">
        <v>0</v>
      </c>
      <c r="M96" t="n">
        <v>0</v>
      </c>
      <c r="N96" t="n">
        <v>0</v>
      </c>
      <c r="O96" t="n">
        <v>0</v>
      </c>
      <c r="P96" t="n">
        <v>0</v>
      </c>
      <c r="Q96" t="n">
        <v>0</v>
      </c>
      <c r="R96" s="2" t="inlineStr"/>
    </row>
    <row r="97" ht="15" customHeight="1">
      <c r="A97" t="inlineStr">
        <is>
          <t>A 58548-2024</t>
        </is>
      </c>
      <c r="B97" s="1" t="n">
        <v>45635.45878472222</v>
      </c>
      <c r="C97" s="1" t="n">
        <v>45900</v>
      </c>
      <c r="D97" t="inlineStr">
        <is>
          <t>ÖREBRO LÄN</t>
        </is>
      </c>
      <c r="E97" t="inlineStr">
        <is>
          <t>LEKEBERG</t>
        </is>
      </c>
      <c r="G97" t="n">
        <v>6.3</v>
      </c>
      <c r="H97" t="n">
        <v>0</v>
      </c>
      <c r="I97" t="n">
        <v>0</v>
      </c>
      <c r="J97" t="n">
        <v>0</v>
      </c>
      <c r="K97" t="n">
        <v>0</v>
      </c>
      <c r="L97" t="n">
        <v>0</v>
      </c>
      <c r="M97" t="n">
        <v>0</v>
      </c>
      <c r="N97" t="n">
        <v>0</v>
      </c>
      <c r="O97" t="n">
        <v>0</v>
      </c>
      <c r="P97" t="n">
        <v>0</v>
      </c>
      <c r="Q97" t="n">
        <v>0</v>
      </c>
      <c r="R97" s="2" t="inlineStr"/>
    </row>
    <row r="98" ht="15" customHeight="1">
      <c r="A98" t="inlineStr">
        <is>
          <t>A 24055-2025</t>
        </is>
      </c>
      <c r="B98" s="1" t="n">
        <v>45796</v>
      </c>
      <c r="C98" s="1" t="n">
        <v>45900</v>
      </c>
      <c r="D98" t="inlineStr">
        <is>
          <t>ÖREBRO LÄN</t>
        </is>
      </c>
      <c r="E98" t="inlineStr">
        <is>
          <t>LEKEBERG</t>
        </is>
      </c>
      <c r="G98" t="n">
        <v>4.2</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45900</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45900</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45900</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54990-2020</t>
        </is>
      </c>
      <c r="B102" s="1" t="n">
        <v>44123</v>
      </c>
      <c r="C102" s="1" t="n">
        <v>45900</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1599-2025</t>
        </is>
      </c>
      <c r="B103" s="1" t="n">
        <v>45670.58930555556</v>
      </c>
      <c r="C103" s="1" t="n">
        <v>45900</v>
      </c>
      <c r="D103" t="inlineStr">
        <is>
          <t>ÖREBRO LÄN</t>
        </is>
      </c>
      <c r="E103" t="inlineStr">
        <is>
          <t>LEKEBERG</t>
        </is>
      </c>
      <c r="F103" t="inlineStr">
        <is>
          <t>Allmännings- och besparingsskogar</t>
        </is>
      </c>
      <c r="G103" t="n">
        <v>18.8</v>
      </c>
      <c r="H103" t="n">
        <v>0</v>
      </c>
      <c r="I103" t="n">
        <v>0</v>
      </c>
      <c r="J103" t="n">
        <v>0</v>
      </c>
      <c r="K103" t="n">
        <v>0</v>
      </c>
      <c r="L103" t="n">
        <v>0</v>
      </c>
      <c r="M103" t="n">
        <v>0</v>
      </c>
      <c r="N103" t="n">
        <v>0</v>
      </c>
      <c r="O103" t="n">
        <v>0</v>
      </c>
      <c r="P103" t="n">
        <v>0</v>
      </c>
      <c r="Q103" t="n">
        <v>0</v>
      </c>
      <c r="R103" s="2" t="inlineStr"/>
    </row>
    <row r="104" ht="15" customHeight="1">
      <c r="A104" t="inlineStr">
        <is>
          <t>A 26863-2025</t>
        </is>
      </c>
      <c r="B104" s="1" t="n">
        <v>45810.69763888889</v>
      </c>
      <c r="C104" s="1" t="n">
        <v>45900</v>
      </c>
      <c r="D104" t="inlineStr">
        <is>
          <t>ÖREBRO LÄN</t>
        </is>
      </c>
      <c r="E104" t="inlineStr">
        <is>
          <t>LEKEBERG</t>
        </is>
      </c>
      <c r="G104" t="n">
        <v>0.8</v>
      </c>
      <c r="H104" t="n">
        <v>0</v>
      </c>
      <c r="I104" t="n">
        <v>0</v>
      </c>
      <c r="J104" t="n">
        <v>0</v>
      </c>
      <c r="K104" t="n">
        <v>0</v>
      </c>
      <c r="L104" t="n">
        <v>0</v>
      </c>
      <c r="M104" t="n">
        <v>0</v>
      </c>
      <c r="N104" t="n">
        <v>0</v>
      </c>
      <c r="O104" t="n">
        <v>0</v>
      </c>
      <c r="P104" t="n">
        <v>0</v>
      </c>
      <c r="Q104" t="n">
        <v>0</v>
      </c>
      <c r="R104" s="2" t="inlineStr"/>
    </row>
    <row r="105" ht="15" customHeight="1">
      <c r="A105" t="inlineStr">
        <is>
          <t>A 10787-2023</t>
        </is>
      </c>
      <c r="B105" s="1" t="n">
        <v>44989</v>
      </c>
      <c r="C105" s="1" t="n">
        <v>45900</v>
      </c>
      <c r="D105" t="inlineStr">
        <is>
          <t>ÖREBRO LÄN</t>
        </is>
      </c>
      <c r="E105" t="inlineStr">
        <is>
          <t>LEKEBERG</t>
        </is>
      </c>
      <c r="G105" t="n">
        <v>5</v>
      </c>
      <c r="H105" t="n">
        <v>0</v>
      </c>
      <c r="I105" t="n">
        <v>0</v>
      </c>
      <c r="J105" t="n">
        <v>0</v>
      </c>
      <c r="K105" t="n">
        <v>0</v>
      </c>
      <c r="L105" t="n">
        <v>0</v>
      </c>
      <c r="M105" t="n">
        <v>0</v>
      </c>
      <c r="N105" t="n">
        <v>0</v>
      </c>
      <c r="O105" t="n">
        <v>0</v>
      </c>
      <c r="P105" t="n">
        <v>0</v>
      </c>
      <c r="Q105" t="n">
        <v>0</v>
      </c>
      <c r="R105" s="2" t="inlineStr"/>
    </row>
    <row r="106" ht="15" customHeight="1">
      <c r="A106" t="inlineStr">
        <is>
          <t>A 10791-2023</t>
        </is>
      </c>
      <c r="B106" s="1" t="n">
        <v>44989</v>
      </c>
      <c r="C106" s="1" t="n">
        <v>45900</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30722-2023</t>
        </is>
      </c>
      <c r="B107" s="1" t="n">
        <v>45112</v>
      </c>
      <c r="C107" s="1" t="n">
        <v>45900</v>
      </c>
      <c r="D107" t="inlineStr">
        <is>
          <t>ÖREBRO LÄN</t>
        </is>
      </c>
      <c r="E107" t="inlineStr">
        <is>
          <t>LEKEBERG</t>
        </is>
      </c>
      <c r="F107" t="inlineStr">
        <is>
          <t>Allmännings- och besparingsskogar</t>
        </is>
      </c>
      <c r="G107" t="n">
        <v>21.2</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45900</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36444-2022</t>
        </is>
      </c>
      <c r="B109" s="1" t="n">
        <v>44804.38798611111</v>
      </c>
      <c r="C109" s="1" t="n">
        <v>45900</v>
      </c>
      <c r="D109" t="inlineStr">
        <is>
          <t>ÖREBRO LÄN</t>
        </is>
      </c>
      <c r="E109" t="inlineStr">
        <is>
          <t>LEKEBERG</t>
        </is>
      </c>
      <c r="G109" t="n">
        <v>2.7</v>
      </c>
      <c r="H109" t="n">
        <v>0</v>
      </c>
      <c r="I109" t="n">
        <v>0</v>
      </c>
      <c r="J109" t="n">
        <v>0</v>
      </c>
      <c r="K109" t="n">
        <v>0</v>
      </c>
      <c r="L109" t="n">
        <v>0</v>
      </c>
      <c r="M109" t="n">
        <v>0</v>
      </c>
      <c r="N109" t="n">
        <v>0</v>
      </c>
      <c r="O109" t="n">
        <v>0</v>
      </c>
      <c r="P109" t="n">
        <v>0</v>
      </c>
      <c r="Q109" t="n">
        <v>0</v>
      </c>
      <c r="R109" s="2" t="inlineStr"/>
    </row>
    <row r="110" ht="15" customHeight="1">
      <c r="A110" t="inlineStr">
        <is>
          <t>A 1157-2025</t>
        </is>
      </c>
      <c r="B110" s="1" t="n">
        <v>45666.75922453704</v>
      </c>
      <c r="C110" s="1" t="n">
        <v>45900</v>
      </c>
      <c r="D110" t="inlineStr">
        <is>
          <t>ÖREBRO LÄN</t>
        </is>
      </c>
      <c r="E110" t="inlineStr">
        <is>
          <t>LEKEBERG</t>
        </is>
      </c>
      <c r="G110" t="n">
        <v>1.3</v>
      </c>
      <c r="H110" t="n">
        <v>0</v>
      </c>
      <c r="I110" t="n">
        <v>0</v>
      </c>
      <c r="J110" t="n">
        <v>0</v>
      </c>
      <c r="K110" t="n">
        <v>0</v>
      </c>
      <c r="L110" t="n">
        <v>0</v>
      </c>
      <c r="M110" t="n">
        <v>0</v>
      </c>
      <c r="N110" t="n">
        <v>0</v>
      </c>
      <c r="O110" t="n">
        <v>0</v>
      </c>
      <c r="P110" t="n">
        <v>0</v>
      </c>
      <c r="Q110" t="n">
        <v>0</v>
      </c>
      <c r="R110" s="2" t="inlineStr"/>
    </row>
    <row r="111" ht="15" customHeight="1">
      <c r="A111" t="inlineStr">
        <is>
          <t>A 22137-2022</t>
        </is>
      </c>
      <c r="B111" s="1" t="n">
        <v>44712</v>
      </c>
      <c r="C111" s="1" t="n">
        <v>45900</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26763-2023</t>
        </is>
      </c>
      <c r="B112" s="1" t="n">
        <v>45093.46813657408</v>
      </c>
      <c r="C112" s="1" t="n">
        <v>45900</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53910-2023</t>
        </is>
      </c>
      <c r="B113" s="1" t="n">
        <v>45231.55751157407</v>
      </c>
      <c r="C113" s="1" t="n">
        <v>45900</v>
      </c>
      <c r="D113" t="inlineStr">
        <is>
          <t>ÖREBRO LÄN</t>
        </is>
      </c>
      <c r="E113" t="inlineStr">
        <is>
          <t>LEKEBERG</t>
        </is>
      </c>
      <c r="G113" t="n">
        <v>5.7</v>
      </c>
      <c r="H113" t="n">
        <v>0</v>
      </c>
      <c r="I113" t="n">
        <v>0</v>
      </c>
      <c r="J113" t="n">
        <v>0</v>
      </c>
      <c r="K113" t="n">
        <v>0</v>
      </c>
      <c r="L113" t="n">
        <v>0</v>
      </c>
      <c r="M113" t="n">
        <v>0</v>
      </c>
      <c r="N113" t="n">
        <v>0</v>
      </c>
      <c r="O113" t="n">
        <v>0</v>
      </c>
      <c r="P113" t="n">
        <v>0</v>
      </c>
      <c r="Q113" t="n">
        <v>0</v>
      </c>
      <c r="R113" s="2" t="inlineStr"/>
    </row>
    <row r="114" ht="15" customHeight="1">
      <c r="A114" t="inlineStr">
        <is>
          <t>A 10617-2022</t>
        </is>
      </c>
      <c r="B114" s="1" t="n">
        <v>44624</v>
      </c>
      <c r="C114" s="1" t="n">
        <v>45900</v>
      </c>
      <c r="D114" t="inlineStr">
        <is>
          <t>ÖREBRO LÄN</t>
        </is>
      </c>
      <c r="E114" t="inlineStr">
        <is>
          <t>LEKEBERG</t>
        </is>
      </c>
      <c r="G114" t="n">
        <v>7.9</v>
      </c>
      <c r="H114" t="n">
        <v>0</v>
      </c>
      <c r="I114" t="n">
        <v>0</v>
      </c>
      <c r="J114" t="n">
        <v>0</v>
      </c>
      <c r="K114" t="n">
        <v>0</v>
      </c>
      <c r="L114" t="n">
        <v>0</v>
      </c>
      <c r="M114" t="n">
        <v>0</v>
      </c>
      <c r="N114" t="n">
        <v>0</v>
      </c>
      <c r="O114" t="n">
        <v>0</v>
      </c>
      <c r="P114" t="n">
        <v>0</v>
      </c>
      <c r="Q114" t="n">
        <v>0</v>
      </c>
      <c r="R114" s="2" t="inlineStr"/>
    </row>
    <row r="115" ht="15" customHeight="1">
      <c r="A115" t="inlineStr">
        <is>
          <t>A 22198-2023</t>
        </is>
      </c>
      <c r="B115" s="1" t="n">
        <v>45069.78799768518</v>
      </c>
      <c r="C115" s="1" t="n">
        <v>45900</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40240-2024</t>
        </is>
      </c>
      <c r="B116" s="1" t="n">
        <v>45554.61458333334</v>
      </c>
      <c r="C116" s="1" t="n">
        <v>45900</v>
      </c>
      <c r="D116" t="inlineStr">
        <is>
          <t>ÖREBRO LÄN</t>
        </is>
      </c>
      <c r="E116" t="inlineStr">
        <is>
          <t>LEKEBERG</t>
        </is>
      </c>
      <c r="G116" t="n">
        <v>3.6</v>
      </c>
      <c r="H116" t="n">
        <v>0</v>
      </c>
      <c r="I116" t="n">
        <v>0</v>
      </c>
      <c r="J116" t="n">
        <v>0</v>
      </c>
      <c r="K116" t="n">
        <v>0</v>
      </c>
      <c r="L116" t="n">
        <v>0</v>
      </c>
      <c r="M116" t="n">
        <v>0</v>
      </c>
      <c r="N116" t="n">
        <v>0</v>
      </c>
      <c r="O116" t="n">
        <v>0</v>
      </c>
      <c r="P116" t="n">
        <v>0</v>
      </c>
      <c r="Q116" t="n">
        <v>0</v>
      </c>
      <c r="R116" s="2" t="inlineStr"/>
    </row>
    <row r="117" ht="15" customHeight="1">
      <c r="A117" t="inlineStr">
        <is>
          <t>A 19045-2023</t>
        </is>
      </c>
      <c r="B117" s="1" t="n">
        <v>45047</v>
      </c>
      <c r="C117" s="1" t="n">
        <v>45900</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9769-2025</t>
        </is>
      </c>
      <c r="B118" s="1" t="n">
        <v>45716.48861111111</v>
      </c>
      <c r="C118" s="1" t="n">
        <v>45900</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29773-2025</t>
        </is>
      </c>
      <c r="B119" s="1" t="n">
        <v>45825.63271990741</v>
      </c>
      <c r="C119" s="1" t="n">
        <v>45900</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46877-2022</t>
        </is>
      </c>
      <c r="B120" s="1" t="n">
        <v>44848</v>
      </c>
      <c r="C120" s="1" t="n">
        <v>45900</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16914-2022</t>
        </is>
      </c>
      <c r="B121" s="1" t="n">
        <v>44676.43390046297</v>
      </c>
      <c r="C121" s="1" t="n">
        <v>45900</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12596-2025</t>
        </is>
      </c>
      <c r="B122" s="1" t="n">
        <v>45733.28476851852</v>
      </c>
      <c r="C122" s="1" t="n">
        <v>45900</v>
      </c>
      <c r="D122" t="inlineStr">
        <is>
          <t>ÖREBRO LÄN</t>
        </is>
      </c>
      <c r="E122" t="inlineStr">
        <is>
          <t>LEKEBERG</t>
        </is>
      </c>
      <c r="G122" t="n">
        <v>1.6</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45900</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41008-2024</t>
        </is>
      </c>
      <c r="B124" s="1" t="n">
        <v>45559</v>
      </c>
      <c r="C124" s="1" t="n">
        <v>45900</v>
      </c>
      <c r="D124" t="inlineStr">
        <is>
          <t>ÖREBRO LÄN</t>
        </is>
      </c>
      <c r="E124" t="inlineStr">
        <is>
          <t>LEKEBERG</t>
        </is>
      </c>
      <c r="G124" t="n">
        <v>2.6</v>
      </c>
      <c r="H124" t="n">
        <v>0</v>
      </c>
      <c r="I124" t="n">
        <v>0</v>
      </c>
      <c r="J124" t="n">
        <v>0</v>
      </c>
      <c r="K124" t="n">
        <v>0</v>
      </c>
      <c r="L124" t="n">
        <v>0</v>
      </c>
      <c r="M124" t="n">
        <v>0</v>
      </c>
      <c r="N124" t="n">
        <v>0</v>
      </c>
      <c r="O124" t="n">
        <v>0</v>
      </c>
      <c r="P124" t="n">
        <v>0</v>
      </c>
      <c r="Q124" t="n">
        <v>0</v>
      </c>
      <c r="R124" s="2" t="inlineStr"/>
    </row>
    <row r="125" ht="15" customHeight="1">
      <c r="A125" t="inlineStr">
        <is>
          <t>A 30747-2023</t>
        </is>
      </c>
      <c r="B125" s="1" t="n">
        <v>45112</v>
      </c>
      <c r="C125" s="1" t="n">
        <v>45900</v>
      </c>
      <c r="D125" t="inlineStr">
        <is>
          <t>ÖREBRO LÄN</t>
        </is>
      </c>
      <c r="E125" t="inlineStr">
        <is>
          <t>LEKEBERG</t>
        </is>
      </c>
      <c r="F125" t="inlineStr">
        <is>
          <t>Allmännings- och besparingsskogar</t>
        </is>
      </c>
      <c r="G125" t="n">
        <v>3.8</v>
      </c>
      <c r="H125" t="n">
        <v>0</v>
      </c>
      <c r="I125" t="n">
        <v>0</v>
      </c>
      <c r="J125" t="n">
        <v>0</v>
      </c>
      <c r="K125" t="n">
        <v>0</v>
      </c>
      <c r="L125" t="n">
        <v>0</v>
      </c>
      <c r="M125" t="n">
        <v>0</v>
      </c>
      <c r="N125" t="n">
        <v>0</v>
      </c>
      <c r="O125" t="n">
        <v>0</v>
      </c>
      <c r="P125" t="n">
        <v>0</v>
      </c>
      <c r="Q125" t="n">
        <v>0</v>
      </c>
      <c r="R125" s="2" t="inlineStr"/>
    </row>
    <row r="126" ht="15" customHeight="1">
      <c r="A126" t="inlineStr">
        <is>
          <t>A 30802-2023</t>
        </is>
      </c>
      <c r="B126" s="1" t="n">
        <v>45112</v>
      </c>
      <c r="C126" s="1" t="n">
        <v>45900</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11794-2023</t>
        </is>
      </c>
      <c r="B127" s="1" t="n">
        <v>44994</v>
      </c>
      <c r="C127" s="1" t="n">
        <v>45900</v>
      </c>
      <c r="D127" t="inlineStr">
        <is>
          <t>ÖREBRO LÄN</t>
        </is>
      </c>
      <c r="E127" t="inlineStr">
        <is>
          <t>LEKEBERG</t>
        </is>
      </c>
      <c r="G127" t="n">
        <v>7.6</v>
      </c>
      <c r="H127" t="n">
        <v>0</v>
      </c>
      <c r="I127" t="n">
        <v>0</v>
      </c>
      <c r="J127" t="n">
        <v>0</v>
      </c>
      <c r="K127" t="n">
        <v>0</v>
      </c>
      <c r="L127" t="n">
        <v>0</v>
      </c>
      <c r="M127" t="n">
        <v>0</v>
      </c>
      <c r="N127" t="n">
        <v>0</v>
      </c>
      <c r="O127" t="n">
        <v>0</v>
      </c>
      <c r="P127" t="n">
        <v>0</v>
      </c>
      <c r="Q127" t="n">
        <v>0</v>
      </c>
      <c r="R127" s="2" t="inlineStr"/>
    </row>
    <row r="128" ht="15" customHeight="1">
      <c r="A128" t="inlineStr">
        <is>
          <t>A 39873-2024</t>
        </is>
      </c>
      <c r="B128" s="1" t="n">
        <v>45553</v>
      </c>
      <c r="C128" s="1" t="n">
        <v>45900</v>
      </c>
      <c r="D128" t="inlineStr">
        <is>
          <t>ÖREBRO LÄN</t>
        </is>
      </c>
      <c r="E128" t="inlineStr">
        <is>
          <t>LEKEBERG</t>
        </is>
      </c>
      <c r="F128" t="inlineStr">
        <is>
          <t>Sveaskog</t>
        </is>
      </c>
      <c r="G128" t="n">
        <v>3.2</v>
      </c>
      <c r="H128" t="n">
        <v>0</v>
      </c>
      <c r="I128" t="n">
        <v>0</v>
      </c>
      <c r="J128" t="n">
        <v>0</v>
      </c>
      <c r="K128" t="n">
        <v>0</v>
      </c>
      <c r="L128" t="n">
        <v>0</v>
      </c>
      <c r="M128" t="n">
        <v>0</v>
      </c>
      <c r="N128" t="n">
        <v>0</v>
      </c>
      <c r="O128" t="n">
        <v>0</v>
      </c>
      <c r="P128" t="n">
        <v>0</v>
      </c>
      <c r="Q128" t="n">
        <v>0</v>
      </c>
      <c r="R128" s="2" t="inlineStr"/>
      <c r="U128">
        <f>HYPERLINK("https://klasma.github.io/Logging_1814/knärot/A 39873-2024 karta knärot.png", "A 39873-2024")</f>
        <v/>
      </c>
      <c r="V128">
        <f>HYPERLINK("https://klasma.github.io/Logging_1814/klagomål/A 39873-2024 FSC-klagomål.docx", "A 39873-2024")</f>
        <v/>
      </c>
      <c r="W128">
        <f>HYPERLINK("https://klasma.github.io/Logging_1814/klagomålsmail/A 39873-2024 FSC-klagomål mail.docx", "A 39873-2024")</f>
        <v/>
      </c>
      <c r="X128">
        <f>HYPERLINK("https://klasma.github.io/Logging_1814/tillsyn/A 39873-2024 tillsynsbegäran.docx", "A 39873-2024")</f>
        <v/>
      </c>
      <c r="Y128">
        <f>HYPERLINK("https://klasma.github.io/Logging_1814/tillsynsmail/A 39873-2024 tillsynsbegäran mail.docx", "A 39873-2024")</f>
        <v/>
      </c>
    </row>
    <row r="129" ht="15" customHeight="1">
      <c r="A129" t="inlineStr">
        <is>
          <t>A 3643-2023</t>
        </is>
      </c>
      <c r="B129" s="1" t="n">
        <v>44950.69260416667</v>
      </c>
      <c r="C129" s="1" t="n">
        <v>45900</v>
      </c>
      <c r="D129" t="inlineStr">
        <is>
          <t>ÖREBRO LÄN</t>
        </is>
      </c>
      <c r="E129" t="inlineStr">
        <is>
          <t>LEKEBERG</t>
        </is>
      </c>
      <c r="G129" t="n">
        <v>1.5</v>
      </c>
      <c r="H129" t="n">
        <v>0</v>
      </c>
      <c r="I129" t="n">
        <v>0</v>
      </c>
      <c r="J129" t="n">
        <v>0</v>
      </c>
      <c r="K129" t="n">
        <v>0</v>
      </c>
      <c r="L129" t="n">
        <v>0</v>
      </c>
      <c r="M129" t="n">
        <v>0</v>
      </c>
      <c r="N129" t="n">
        <v>0</v>
      </c>
      <c r="O129" t="n">
        <v>0</v>
      </c>
      <c r="P129" t="n">
        <v>0</v>
      </c>
      <c r="Q129" t="n">
        <v>0</v>
      </c>
      <c r="R129" s="2" t="inlineStr"/>
    </row>
    <row r="130" ht="15" customHeight="1">
      <c r="A130" t="inlineStr">
        <is>
          <t>A 18274-2024</t>
        </is>
      </c>
      <c r="B130" s="1" t="n">
        <v>45421.70460648148</v>
      </c>
      <c r="C130" s="1" t="n">
        <v>45900</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51659-2021</t>
        </is>
      </c>
      <c r="B131" s="1" t="n">
        <v>44462</v>
      </c>
      <c r="C131" s="1" t="n">
        <v>45900</v>
      </c>
      <c r="D131" t="inlineStr">
        <is>
          <t>ÖREBRO LÄN</t>
        </is>
      </c>
      <c r="E131" t="inlineStr">
        <is>
          <t>LEKEBERG</t>
        </is>
      </c>
      <c r="G131" t="n">
        <v>3.1</v>
      </c>
      <c r="H131" t="n">
        <v>0</v>
      </c>
      <c r="I131" t="n">
        <v>0</v>
      </c>
      <c r="J131" t="n">
        <v>0</v>
      </c>
      <c r="K131" t="n">
        <v>0</v>
      </c>
      <c r="L131" t="n">
        <v>0</v>
      </c>
      <c r="M131" t="n">
        <v>0</v>
      </c>
      <c r="N131" t="n">
        <v>0</v>
      </c>
      <c r="O131" t="n">
        <v>0</v>
      </c>
      <c r="P131" t="n">
        <v>0</v>
      </c>
      <c r="Q131" t="n">
        <v>0</v>
      </c>
      <c r="R131" s="2" t="inlineStr"/>
    </row>
    <row r="132" ht="15" customHeight="1">
      <c r="A132" t="inlineStr">
        <is>
          <t>A 33204-2025</t>
        </is>
      </c>
      <c r="B132" s="1" t="n">
        <v>45840.61181712963</v>
      </c>
      <c r="C132" s="1" t="n">
        <v>45900</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37898-2025</t>
        </is>
      </c>
      <c r="B133" s="1" t="n">
        <v>45881.55846064815</v>
      </c>
      <c r="C133" s="1" t="n">
        <v>45900</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20800-2024</t>
        </is>
      </c>
      <c r="B134" s="1" t="n">
        <v>45438</v>
      </c>
      <c r="C134" s="1" t="n">
        <v>45900</v>
      </c>
      <c r="D134" t="inlineStr">
        <is>
          <t>ÖREBRO LÄN</t>
        </is>
      </c>
      <c r="E134" t="inlineStr">
        <is>
          <t>LEKEBERG</t>
        </is>
      </c>
      <c r="G134" t="n">
        <v>3.6</v>
      </c>
      <c r="H134" t="n">
        <v>0</v>
      </c>
      <c r="I134" t="n">
        <v>0</v>
      </c>
      <c r="J134" t="n">
        <v>0</v>
      </c>
      <c r="K134" t="n">
        <v>0</v>
      </c>
      <c r="L134" t="n">
        <v>0</v>
      </c>
      <c r="M134" t="n">
        <v>0</v>
      </c>
      <c r="N134" t="n">
        <v>0</v>
      </c>
      <c r="O134" t="n">
        <v>0</v>
      </c>
      <c r="P134" t="n">
        <v>0</v>
      </c>
      <c r="Q134" t="n">
        <v>0</v>
      </c>
      <c r="R134" s="2" t="inlineStr"/>
    </row>
    <row r="135" ht="15" customHeight="1">
      <c r="A135" t="inlineStr">
        <is>
          <t>A 11289-2025</t>
        </is>
      </c>
      <c r="B135" s="1" t="n">
        <v>45726.42762731481</v>
      </c>
      <c r="C135" s="1" t="n">
        <v>45900</v>
      </c>
      <c r="D135" t="inlineStr">
        <is>
          <t>ÖREBRO LÄN</t>
        </is>
      </c>
      <c r="E135" t="inlineStr">
        <is>
          <t>LEKEBERG</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5313-2024</t>
        </is>
      </c>
      <c r="B136" s="1" t="n">
        <v>45331.39503472222</v>
      </c>
      <c r="C136" s="1" t="n">
        <v>45900</v>
      </c>
      <c r="D136" t="inlineStr">
        <is>
          <t>ÖREBRO LÄN</t>
        </is>
      </c>
      <c r="E136" t="inlineStr">
        <is>
          <t>LEKEBERG</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45900</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38297-2025</t>
        </is>
      </c>
      <c r="B138" s="1" t="n">
        <v>45883.45506944445</v>
      </c>
      <c r="C138" s="1" t="n">
        <v>45900</v>
      </c>
      <c r="D138" t="inlineStr">
        <is>
          <t>ÖREBRO LÄN</t>
        </is>
      </c>
      <c r="E138" t="inlineStr">
        <is>
          <t>LEKEBERG</t>
        </is>
      </c>
      <c r="G138" t="n">
        <v>2.2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45900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12516-2025</t>
        </is>
      </c>
      <c r="B140" s="1" t="n">
        <v>45730.65107638889</v>
      </c>
      <c r="C140" s="1" t="n">
        <v>45900</v>
      </c>
      <c r="D140" t="inlineStr">
        <is>
          <t>ÖREBRO LÄN</t>
        </is>
      </c>
      <c r="E140" t="inlineStr">
        <is>
          <t>LEKEBERG</t>
        </is>
      </c>
      <c r="F140" t="inlineStr">
        <is>
          <t>Allmännings- och besparingsskogar</t>
        </is>
      </c>
      <c r="G140" t="n">
        <v>4.8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45900</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31113-2023</t>
        </is>
      </c>
      <c r="B142" s="1" t="n">
        <v>45113</v>
      </c>
      <c r="C142" s="1" t="n">
        <v>45900</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11383-2023</t>
        </is>
      </c>
      <c r="B143" s="1" t="n">
        <v>44993.45693287037</v>
      </c>
      <c r="C143" s="1" t="n">
        <v>45900</v>
      </c>
      <c r="D143" t="inlineStr">
        <is>
          <t>ÖREBRO LÄN</t>
        </is>
      </c>
      <c r="E143" t="inlineStr">
        <is>
          <t>LEKEBERG</t>
        </is>
      </c>
      <c r="G143" t="n">
        <v>0.4</v>
      </c>
      <c r="H143" t="n">
        <v>0</v>
      </c>
      <c r="I143" t="n">
        <v>0</v>
      </c>
      <c r="J143" t="n">
        <v>0</v>
      </c>
      <c r="K143" t="n">
        <v>0</v>
      </c>
      <c r="L143" t="n">
        <v>0</v>
      </c>
      <c r="M143" t="n">
        <v>0</v>
      </c>
      <c r="N143" t="n">
        <v>0</v>
      </c>
      <c r="O143" t="n">
        <v>0</v>
      </c>
      <c r="P143" t="n">
        <v>0</v>
      </c>
      <c r="Q143" t="n">
        <v>0</v>
      </c>
      <c r="R143" s="2" t="inlineStr"/>
    </row>
    <row r="144" ht="15" customHeight="1">
      <c r="A144" t="inlineStr">
        <is>
          <t>A 48268-2021</t>
        </is>
      </c>
      <c r="B144" s="1" t="n">
        <v>44449.66981481481</v>
      </c>
      <c r="C144" s="1" t="n">
        <v>45900</v>
      </c>
      <c r="D144" t="inlineStr">
        <is>
          <t>ÖREBRO LÄN</t>
        </is>
      </c>
      <c r="E144" t="inlineStr">
        <is>
          <t>LEKEBERG</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61492-2022</t>
        </is>
      </c>
      <c r="B145" s="1" t="n">
        <v>44916.47408564815</v>
      </c>
      <c r="C145" s="1" t="n">
        <v>45900</v>
      </c>
      <c r="D145" t="inlineStr">
        <is>
          <t>ÖREBRO LÄN</t>
        </is>
      </c>
      <c r="E145" t="inlineStr">
        <is>
          <t>LEKEBERG</t>
        </is>
      </c>
      <c r="G145" t="n">
        <v>5.9</v>
      </c>
      <c r="H145" t="n">
        <v>0</v>
      </c>
      <c r="I145" t="n">
        <v>0</v>
      </c>
      <c r="J145" t="n">
        <v>0</v>
      </c>
      <c r="K145" t="n">
        <v>0</v>
      </c>
      <c r="L145" t="n">
        <v>0</v>
      </c>
      <c r="M145" t="n">
        <v>0</v>
      </c>
      <c r="N145" t="n">
        <v>0</v>
      </c>
      <c r="O145" t="n">
        <v>0</v>
      </c>
      <c r="P145" t="n">
        <v>0</v>
      </c>
      <c r="Q145" t="n">
        <v>0</v>
      </c>
      <c r="R145" s="2" t="inlineStr"/>
    </row>
    <row r="146" ht="15" customHeight="1">
      <c r="A146" t="inlineStr">
        <is>
          <t>A 6101-2024</t>
        </is>
      </c>
      <c r="B146" s="1" t="n">
        <v>45337</v>
      </c>
      <c r="C146" s="1" t="n">
        <v>45900</v>
      </c>
      <c r="D146" t="inlineStr">
        <is>
          <t>ÖREBRO LÄN</t>
        </is>
      </c>
      <c r="E146" t="inlineStr">
        <is>
          <t>LEKEBERG</t>
        </is>
      </c>
      <c r="G146" t="n">
        <v>4.2</v>
      </c>
      <c r="H146" t="n">
        <v>0</v>
      </c>
      <c r="I146" t="n">
        <v>0</v>
      </c>
      <c r="J146" t="n">
        <v>0</v>
      </c>
      <c r="K146" t="n">
        <v>0</v>
      </c>
      <c r="L146" t="n">
        <v>0</v>
      </c>
      <c r="M146" t="n">
        <v>0</v>
      </c>
      <c r="N146" t="n">
        <v>0</v>
      </c>
      <c r="O146" t="n">
        <v>0</v>
      </c>
      <c r="P146" t="n">
        <v>0</v>
      </c>
      <c r="Q146" t="n">
        <v>0</v>
      </c>
      <c r="R146" s="2" t="inlineStr"/>
    </row>
    <row r="147" ht="15" customHeight="1">
      <c r="A147" t="inlineStr">
        <is>
          <t>A 39871-2024</t>
        </is>
      </c>
      <c r="B147" s="1" t="n">
        <v>45553</v>
      </c>
      <c r="C147" s="1" t="n">
        <v>45900</v>
      </c>
      <c r="D147" t="inlineStr">
        <is>
          <t>ÖREBRO LÄN</t>
        </is>
      </c>
      <c r="E147" t="inlineStr">
        <is>
          <t>LEKEBERG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18272-2024</t>
        </is>
      </c>
      <c r="B148" s="1" t="n">
        <v>45421.69873842593</v>
      </c>
      <c r="C148" s="1" t="n">
        <v>45900</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47906-2023</t>
        </is>
      </c>
      <c r="B149" s="1" t="n">
        <v>45204</v>
      </c>
      <c r="C149" s="1" t="n">
        <v>45900</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38922-2023</t>
        </is>
      </c>
      <c r="B150" s="1" t="n">
        <v>45163.57961805556</v>
      </c>
      <c r="C150" s="1" t="n">
        <v>45900</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12616-2025</t>
        </is>
      </c>
      <c r="B151" s="1" t="n">
        <v>45733</v>
      </c>
      <c r="C151" s="1" t="n">
        <v>45900</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2038-2025</t>
        </is>
      </c>
      <c r="B152" s="1" t="n">
        <v>45672.49553240741</v>
      </c>
      <c r="C152" s="1" t="n">
        <v>45900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27638-2025</t>
        </is>
      </c>
      <c r="B153" s="1" t="n">
        <v>45813</v>
      </c>
      <c r="C153" s="1" t="n">
        <v>45900</v>
      </c>
      <c r="D153" t="inlineStr">
        <is>
          <t>ÖREBRO LÄN</t>
        </is>
      </c>
      <c r="E153" t="inlineStr">
        <is>
          <t>LEKEBERG</t>
        </is>
      </c>
      <c r="G153" t="n">
        <v>1.1</v>
      </c>
      <c r="H153" t="n">
        <v>0</v>
      </c>
      <c r="I153" t="n">
        <v>0</v>
      </c>
      <c r="J153" t="n">
        <v>0</v>
      </c>
      <c r="K153" t="n">
        <v>0</v>
      </c>
      <c r="L153" t="n">
        <v>0</v>
      </c>
      <c r="M153" t="n">
        <v>0</v>
      </c>
      <c r="N153" t="n">
        <v>0</v>
      </c>
      <c r="O153" t="n">
        <v>0</v>
      </c>
      <c r="P153" t="n">
        <v>0</v>
      </c>
      <c r="Q153" t="n">
        <v>0</v>
      </c>
      <c r="R153" s="2" t="inlineStr"/>
    </row>
    <row r="154" ht="15" customHeight="1">
      <c r="A154" t="inlineStr">
        <is>
          <t>A 35101-2025</t>
        </is>
      </c>
      <c r="B154" s="1" t="n">
        <v>45852.56694444444</v>
      </c>
      <c r="C154" s="1" t="n">
        <v>45900</v>
      </c>
      <c r="D154" t="inlineStr">
        <is>
          <t>ÖREBRO LÄN</t>
        </is>
      </c>
      <c r="E154" t="inlineStr">
        <is>
          <t>LEKEBERG</t>
        </is>
      </c>
      <c r="F154" t="inlineStr">
        <is>
          <t>Allmännings- och besparingsskogar</t>
        </is>
      </c>
      <c r="G154" t="n">
        <v>5.4</v>
      </c>
      <c r="H154" t="n">
        <v>0</v>
      </c>
      <c r="I154" t="n">
        <v>0</v>
      </c>
      <c r="J154" t="n">
        <v>0</v>
      </c>
      <c r="K154" t="n">
        <v>0</v>
      </c>
      <c r="L154" t="n">
        <v>0</v>
      </c>
      <c r="M154" t="n">
        <v>0</v>
      </c>
      <c r="N154" t="n">
        <v>0</v>
      </c>
      <c r="O154" t="n">
        <v>0</v>
      </c>
      <c r="P154" t="n">
        <v>0</v>
      </c>
      <c r="Q154" t="n">
        <v>0</v>
      </c>
      <c r="R154" s="2" t="inlineStr"/>
    </row>
    <row r="155" ht="15" customHeight="1">
      <c r="A155" t="inlineStr">
        <is>
          <t>A 11287-2025</t>
        </is>
      </c>
      <c r="B155" s="1" t="n">
        <v>45726.42666666667</v>
      </c>
      <c r="C155" s="1" t="n">
        <v>45900</v>
      </c>
      <c r="D155" t="inlineStr">
        <is>
          <t>ÖREBRO LÄN</t>
        </is>
      </c>
      <c r="E155" t="inlineStr">
        <is>
          <t>LEKEBERG</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34885-2022</t>
        </is>
      </c>
      <c r="B156" s="1" t="n">
        <v>44796.51725694445</v>
      </c>
      <c r="C156" s="1" t="n">
        <v>45900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39938-2025</t>
        </is>
      </c>
      <c r="B157" s="1" t="n">
        <v>45891</v>
      </c>
      <c r="C157" s="1" t="n">
        <v>45900</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37450-2024</t>
        </is>
      </c>
      <c r="B158" s="1" t="n">
        <v>45540.68736111111</v>
      </c>
      <c r="C158" s="1" t="n">
        <v>45900</v>
      </c>
      <c r="D158" t="inlineStr">
        <is>
          <t>ÖREBRO LÄN</t>
        </is>
      </c>
      <c r="E158" t="inlineStr">
        <is>
          <t>LEKEBERG</t>
        </is>
      </c>
      <c r="G158" t="n">
        <v>3.4</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45900</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33907-2024</t>
        </is>
      </c>
      <c r="B160" s="1" t="n">
        <v>45523.37623842592</v>
      </c>
      <c r="C160" s="1" t="n">
        <v>45900</v>
      </c>
      <c r="D160" t="inlineStr">
        <is>
          <t>ÖREBRO LÄN</t>
        </is>
      </c>
      <c r="E160" t="inlineStr">
        <is>
          <t>LEKEBERG</t>
        </is>
      </c>
      <c r="G160" t="n">
        <v>3.3</v>
      </c>
      <c r="H160" t="n">
        <v>0</v>
      </c>
      <c r="I160" t="n">
        <v>0</v>
      </c>
      <c r="J160" t="n">
        <v>0</v>
      </c>
      <c r="K160" t="n">
        <v>0</v>
      </c>
      <c r="L160" t="n">
        <v>0</v>
      </c>
      <c r="M160" t="n">
        <v>0</v>
      </c>
      <c r="N160" t="n">
        <v>0</v>
      </c>
      <c r="O160" t="n">
        <v>0</v>
      </c>
      <c r="P160" t="n">
        <v>0</v>
      </c>
      <c r="Q160" t="n">
        <v>0</v>
      </c>
      <c r="R160" s="2" t="inlineStr"/>
    </row>
    <row r="161" ht="15" customHeight="1">
      <c r="A161" t="inlineStr">
        <is>
          <t>A 33910-2024</t>
        </is>
      </c>
      <c r="B161" s="1" t="n">
        <v>45523.38473379629</v>
      </c>
      <c r="C161" s="1" t="n">
        <v>45900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40696-2022</t>
        </is>
      </c>
      <c r="B162" s="1" t="n">
        <v>44824</v>
      </c>
      <c r="C162" s="1" t="n">
        <v>45900</v>
      </c>
      <c r="D162" t="inlineStr">
        <is>
          <t>ÖREBRO LÄN</t>
        </is>
      </c>
      <c r="E162" t="inlineStr">
        <is>
          <t>LEKEBERG</t>
        </is>
      </c>
      <c r="G162" t="n">
        <v>2.5</v>
      </c>
      <c r="H162" t="n">
        <v>0</v>
      </c>
      <c r="I162" t="n">
        <v>0</v>
      </c>
      <c r="J162" t="n">
        <v>0</v>
      </c>
      <c r="K162" t="n">
        <v>0</v>
      </c>
      <c r="L162" t="n">
        <v>0</v>
      </c>
      <c r="M162" t="n">
        <v>0</v>
      </c>
      <c r="N162" t="n">
        <v>0</v>
      </c>
      <c r="O162" t="n">
        <v>0</v>
      </c>
      <c r="P162" t="n">
        <v>0</v>
      </c>
      <c r="Q162" t="n">
        <v>0</v>
      </c>
      <c r="R162" s="2" t="inlineStr"/>
    </row>
    <row r="163" ht="15" customHeight="1">
      <c r="A163" t="inlineStr">
        <is>
          <t>A 30603-2021</t>
        </is>
      </c>
      <c r="B163" s="1" t="n">
        <v>44365.28403935185</v>
      </c>
      <c r="C163" s="1" t="n">
        <v>45900</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28579-2022</t>
        </is>
      </c>
      <c r="B164" s="1" t="n">
        <v>44748</v>
      </c>
      <c r="C164" s="1" t="n">
        <v>45900</v>
      </c>
      <c r="D164" t="inlineStr">
        <is>
          <t>ÖREBRO LÄN</t>
        </is>
      </c>
      <c r="E164" t="inlineStr">
        <is>
          <t>LEKEBERG</t>
        </is>
      </c>
      <c r="G164" t="n">
        <v>3.4</v>
      </c>
      <c r="H164" t="n">
        <v>0</v>
      </c>
      <c r="I164" t="n">
        <v>0</v>
      </c>
      <c r="J164" t="n">
        <v>0</v>
      </c>
      <c r="K164" t="n">
        <v>0</v>
      </c>
      <c r="L164" t="n">
        <v>0</v>
      </c>
      <c r="M164" t="n">
        <v>0</v>
      </c>
      <c r="N164" t="n">
        <v>0</v>
      </c>
      <c r="O164" t="n">
        <v>0</v>
      </c>
      <c r="P164" t="n">
        <v>0</v>
      </c>
      <c r="Q164" t="n">
        <v>0</v>
      </c>
      <c r="R164" s="2" t="inlineStr"/>
    </row>
    <row r="165" ht="15" customHeight="1">
      <c r="A165" t="inlineStr">
        <is>
          <t>A 10467-2025</t>
        </is>
      </c>
      <c r="B165" s="1" t="n">
        <v>45720.83359953704</v>
      </c>
      <c r="C165" s="1" t="n">
        <v>45900</v>
      </c>
      <c r="D165" t="inlineStr">
        <is>
          <t>ÖREBRO LÄN</t>
        </is>
      </c>
      <c r="E165" t="inlineStr">
        <is>
          <t>LEKEBERG</t>
        </is>
      </c>
      <c r="G165" t="n">
        <v>3.8</v>
      </c>
      <c r="H165" t="n">
        <v>0</v>
      </c>
      <c r="I165" t="n">
        <v>0</v>
      </c>
      <c r="J165" t="n">
        <v>0</v>
      </c>
      <c r="K165" t="n">
        <v>0</v>
      </c>
      <c r="L165" t="n">
        <v>0</v>
      </c>
      <c r="M165" t="n">
        <v>0</v>
      </c>
      <c r="N165" t="n">
        <v>0</v>
      </c>
      <c r="O165" t="n">
        <v>0</v>
      </c>
      <c r="P165" t="n">
        <v>0</v>
      </c>
      <c r="Q165" t="n">
        <v>0</v>
      </c>
      <c r="R165" s="2" t="inlineStr"/>
    </row>
    <row r="166" ht="15" customHeight="1">
      <c r="A166" t="inlineStr">
        <is>
          <t>A 37491-2021</t>
        </is>
      </c>
      <c r="B166" s="1" t="n">
        <v>44399.29892361111</v>
      </c>
      <c r="C166" s="1" t="n">
        <v>45900</v>
      </c>
      <c r="D166" t="inlineStr">
        <is>
          <t>ÖREBRO LÄN</t>
        </is>
      </c>
      <c r="E166" t="inlineStr">
        <is>
          <t>LEKEBERG</t>
        </is>
      </c>
      <c r="G166" t="n">
        <v>2.7</v>
      </c>
      <c r="H166" t="n">
        <v>0</v>
      </c>
      <c r="I166" t="n">
        <v>0</v>
      </c>
      <c r="J166" t="n">
        <v>0</v>
      </c>
      <c r="K166" t="n">
        <v>0</v>
      </c>
      <c r="L166" t="n">
        <v>0</v>
      </c>
      <c r="M166" t="n">
        <v>0</v>
      </c>
      <c r="N166" t="n">
        <v>0</v>
      </c>
      <c r="O166" t="n">
        <v>0</v>
      </c>
      <c r="P166" t="n">
        <v>0</v>
      </c>
      <c r="Q166" t="n">
        <v>0</v>
      </c>
      <c r="R166" s="2" t="inlineStr"/>
    </row>
    <row r="167" ht="15" customHeight="1">
      <c r="A167" t="inlineStr">
        <is>
          <t>A 5373-2024</t>
        </is>
      </c>
      <c r="B167" s="1" t="n">
        <v>45331</v>
      </c>
      <c r="C167" s="1" t="n">
        <v>45900</v>
      </c>
      <c r="D167" t="inlineStr">
        <is>
          <t>ÖREBRO LÄN</t>
        </is>
      </c>
      <c r="E167" t="inlineStr">
        <is>
          <t>LEKEBERG</t>
        </is>
      </c>
      <c r="G167" t="n">
        <v>5.8</v>
      </c>
      <c r="H167" t="n">
        <v>0</v>
      </c>
      <c r="I167" t="n">
        <v>0</v>
      </c>
      <c r="J167" t="n">
        <v>0</v>
      </c>
      <c r="K167" t="n">
        <v>0</v>
      </c>
      <c r="L167" t="n">
        <v>0</v>
      </c>
      <c r="M167" t="n">
        <v>0</v>
      </c>
      <c r="N167" t="n">
        <v>0</v>
      </c>
      <c r="O167" t="n">
        <v>0</v>
      </c>
      <c r="P167" t="n">
        <v>0</v>
      </c>
      <c r="Q167" t="n">
        <v>0</v>
      </c>
      <c r="R167" s="2" t="inlineStr"/>
    </row>
    <row r="168" ht="15" customHeight="1">
      <c r="A168" t="inlineStr">
        <is>
          <t>A 13409-2025</t>
        </is>
      </c>
      <c r="B168" s="1" t="n">
        <v>45735</v>
      </c>
      <c r="C168" s="1" t="n">
        <v>45900</v>
      </c>
      <c r="D168" t="inlineStr">
        <is>
          <t>ÖREBRO LÄN</t>
        </is>
      </c>
      <c r="E168" t="inlineStr">
        <is>
          <t>LEKEBERG</t>
        </is>
      </c>
      <c r="G168" t="n">
        <v>3</v>
      </c>
      <c r="H168" t="n">
        <v>0</v>
      </c>
      <c r="I168" t="n">
        <v>0</v>
      </c>
      <c r="J168" t="n">
        <v>0</v>
      </c>
      <c r="K168" t="n">
        <v>0</v>
      </c>
      <c r="L168" t="n">
        <v>0</v>
      </c>
      <c r="M168" t="n">
        <v>0</v>
      </c>
      <c r="N168" t="n">
        <v>0</v>
      </c>
      <c r="O168" t="n">
        <v>0</v>
      </c>
      <c r="P168" t="n">
        <v>0</v>
      </c>
      <c r="Q168" t="n">
        <v>0</v>
      </c>
      <c r="R168" s="2" t="inlineStr"/>
    </row>
    <row r="169" ht="15" customHeight="1">
      <c r="A169" t="inlineStr">
        <is>
          <t>A 12140-2023</t>
        </is>
      </c>
      <c r="B169" s="1" t="n">
        <v>44998.46677083334</v>
      </c>
      <c r="C169" s="1" t="n">
        <v>45900</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20787-2022</t>
        </is>
      </c>
      <c r="B170" s="1" t="n">
        <v>44701</v>
      </c>
      <c r="C170" s="1" t="n">
        <v>45900</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45900</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4468-2022</t>
        </is>
      </c>
      <c r="B172" s="1" t="n">
        <v>44589</v>
      </c>
      <c r="C172" s="1" t="n">
        <v>45900</v>
      </c>
      <c r="D172" t="inlineStr">
        <is>
          <t>ÖREBRO LÄN</t>
        </is>
      </c>
      <c r="E172" t="inlineStr">
        <is>
          <t>LEKEBERG</t>
        </is>
      </c>
      <c r="G172" t="n">
        <v>4.8</v>
      </c>
      <c r="H172" t="n">
        <v>0</v>
      </c>
      <c r="I172" t="n">
        <v>0</v>
      </c>
      <c r="J172" t="n">
        <v>0</v>
      </c>
      <c r="K172" t="n">
        <v>0</v>
      </c>
      <c r="L172" t="n">
        <v>0</v>
      </c>
      <c r="M172" t="n">
        <v>0</v>
      </c>
      <c r="N172" t="n">
        <v>0</v>
      </c>
      <c r="O172" t="n">
        <v>0</v>
      </c>
      <c r="P172" t="n">
        <v>0</v>
      </c>
      <c r="Q172" t="n">
        <v>0</v>
      </c>
      <c r="R172" s="2" t="inlineStr"/>
    </row>
    <row r="173" ht="15" customHeight="1">
      <c r="A173" t="inlineStr">
        <is>
          <t>A 3602-2023</t>
        </is>
      </c>
      <c r="B173" s="1" t="n">
        <v>44950.58821759259</v>
      </c>
      <c r="C173" s="1" t="n">
        <v>45900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45900</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11289-2023</t>
        </is>
      </c>
      <c r="B175" s="1" t="n">
        <v>44992</v>
      </c>
      <c r="C175" s="1" t="n">
        <v>45900</v>
      </c>
      <c r="D175" t="inlineStr">
        <is>
          <t>ÖREBRO LÄN</t>
        </is>
      </c>
      <c r="E175" t="inlineStr">
        <is>
          <t>LEKEBERG</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37042-2024</t>
        </is>
      </c>
      <c r="B176" s="1" t="n">
        <v>45539</v>
      </c>
      <c r="C176" s="1" t="n">
        <v>45900</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45900</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1515-2024</t>
        </is>
      </c>
      <c r="B178" s="1" t="n">
        <v>45305</v>
      </c>
      <c r="C178" s="1" t="n">
        <v>45900</v>
      </c>
      <c r="D178" t="inlineStr">
        <is>
          <t>ÖREBRO LÄN</t>
        </is>
      </c>
      <c r="E178" t="inlineStr">
        <is>
          <t>LEKEBERG</t>
        </is>
      </c>
      <c r="G178" t="n">
        <v>3.7</v>
      </c>
      <c r="H178" t="n">
        <v>0</v>
      </c>
      <c r="I178" t="n">
        <v>0</v>
      </c>
      <c r="J178" t="n">
        <v>0</v>
      </c>
      <c r="K178" t="n">
        <v>0</v>
      </c>
      <c r="L178" t="n">
        <v>0</v>
      </c>
      <c r="M178" t="n">
        <v>0</v>
      </c>
      <c r="N178" t="n">
        <v>0</v>
      </c>
      <c r="O178" t="n">
        <v>0</v>
      </c>
      <c r="P178" t="n">
        <v>0</v>
      </c>
      <c r="Q178" t="n">
        <v>0</v>
      </c>
      <c r="R178" s="2" t="inlineStr"/>
    </row>
    <row r="179" ht="15" customHeight="1">
      <c r="A179" t="inlineStr">
        <is>
          <t>A 15597-2025</t>
        </is>
      </c>
      <c r="B179" s="1" t="n">
        <v>45747.9108449074</v>
      </c>
      <c r="C179" s="1" t="n">
        <v>45900</v>
      </c>
      <c r="D179" t="inlineStr">
        <is>
          <t>ÖREBRO LÄN</t>
        </is>
      </c>
      <c r="E179" t="inlineStr">
        <is>
          <t>LEKEBERG</t>
        </is>
      </c>
      <c r="G179" t="n">
        <v>4.2</v>
      </c>
      <c r="H179" t="n">
        <v>0</v>
      </c>
      <c r="I179" t="n">
        <v>0</v>
      </c>
      <c r="J179" t="n">
        <v>0</v>
      </c>
      <c r="K179" t="n">
        <v>0</v>
      </c>
      <c r="L179" t="n">
        <v>0</v>
      </c>
      <c r="M179" t="n">
        <v>0</v>
      </c>
      <c r="N179" t="n">
        <v>0</v>
      </c>
      <c r="O179" t="n">
        <v>0</v>
      </c>
      <c r="P179" t="n">
        <v>0</v>
      </c>
      <c r="Q179" t="n">
        <v>0</v>
      </c>
      <c r="R179" s="2" t="inlineStr"/>
    </row>
    <row r="180" ht="15" customHeight="1">
      <c r="A180" t="inlineStr">
        <is>
          <t>A 18382-2023</t>
        </is>
      </c>
      <c r="B180" s="1" t="n">
        <v>45042.27751157407</v>
      </c>
      <c r="C180" s="1" t="n">
        <v>45900</v>
      </c>
      <c r="D180" t="inlineStr">
        <is>
          <t>ÖREBRO LÄN</t>
        </is>
      </c>
      <c r="E180" t="inlineStr">
        <is>
          <t>LEKEBERG</t>
        </is>
      </c>
      <c r="G180" t="n">
        <v>2.5</v>
      </c>
      <c r="H180" t="n">
        <v>0</v>
      </c>
      <c r="I180" t="n">
        <v>0</v>
      </c>
      <c r="J180" t="n">
        <v>0</v>
      </c>
      <c r="K180" t="n">
        <v>0</v>
      </c>
      <c r="L180" t="n">
        <v>0</v>
      </c>
      <c r="M180" t="n">
        <v>0</v>
      </c>
      <c r="N180" t="n">
        <v>0</v>
      </c>
      <c r="O180" t="n">
        <v>0</v>
      </c>
      <c r="P180" t="n">
        <v>0</v>
      </c>
      <c r="Q180" t="n">
        <v>0</v>
      </c>
      <c r="R180" s="2" t="inlineStr"/>
    </row>
    <row r="181" ht="15" customHeight="1">
      <c r="A181" t="inlineStr">
        <is>
          <t>A 1607-2023</t>
        </is>
      </c>
      <c r="B181" s="1" t="n">
        <v>44937</v>
      </c>
      <c r="C181" s="1" t="n">
        <v>45900</v>
      </c>
      <c r="D181" t="inlineStr">
        <is>
          <t>ÖREBRO LÄN</t>
        </is>
      </c>
      <c r="E181" t="inlineStr">
        <is>
          <t>LEKEBERG</t>
        </is>
      </c>
      <c r="G181" t="n">
        <v>3</v>
      </c>
      <c r="H181" t="n">
        <v>0</v>
      </c>
      <c r="I181" t="n">
        <v>0</v>
      </c>
      <c r="J181" t="n">
        <v>0</v>
      </c>
      <c r="K181" t="n">
        <v>0</v>
      </c>
      <c r="L181" t="n">
        <v>0</v>
      </c>
      <c r="M181" t="n">
        <v>0</v>
      </c>
      <c r="N181" t="n">
        <v>0</v>
      </c>
      <c r="O181" t="n">
        <v>0</v>
      </c>
      <c r="P181" t="n">
        <v>0</v>
      </c>
      <c r="Q181" t="n">
        <v>0</v>
      </c>
      <c r="R181" s="2" t="inlineStr"/>
    </row>
    <row r="182" ht="15" customHeight="1">
      <c r="A182" t="inlineStr">
        <is>
          <t>A 56267-2021</t>
        </is>
      </c>
      <c r="B182" s="1" t="n">
        <v>44479.61296296296</v>
      </c>
      <c r="C182" s="1" t="n">
        <v>45900</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6757-2021</t>
        </is>
      </c>
      <c r="B183" s="1" t="n">
        <v>44236</v>
      </c>
      <c r="C183" s="1" t="n">
        <v>45900</v>
      </c>
      <c r="D183" t="inlineStr">
        <is>
          <t>ÖREBRO LÄN</t>
        </is>
      </c>
      <c r="E183" t="inlineStr">
        <is>
          <t>LEKEBERG</t>
        </is>
      </c>
      <c r="G183" t="n">
        <v>0.7</v>
      </c>
      <c r="H183" t="n">
        <v>0</v>
      </c>
      <c r="I183" t="n">
        <v>0</v>
      </c>
      <c r="J183" t="n">
        <v>0</v>
      </c>
      <c r="K183" t="n">
        <v>0</v>
      </c>
      <c r="L183" t="n">
        <v>0</v>
      </c>
      <c r="M183" t="n">
        <v>0</v>
      </c>
      <c r="N183" t="n">
        <v>0</v>
      </c>
      <c r="O183" t="n">
        <v>0</v>
      </c>
      <c r="P183" t="n">
        <v>0</v>
      </c>
      <c r="Q183" t="n">
        <v>0</v>
      </c>
      <c r="R183" s="2" t="inlineStr"/>
    </row>
    <row r="184" ht="15" customHeight="1">
      <c r="A184" t="inlineStr">
        <is>
          <t>A 39867-2024</t>
        </is>
      </c>
      <c r="B184" s="1" t="n">
        <v>45553.46100694445</v>
      </c>
      <c r="C184" s="1" t="n">
        <v>45900</v>
      </c>
      <c r="D184" t="inlineStr">
        <is>
          <t>ÖREBRO LÄN</t>
        </is>
      </c>
      <c r="E184" t="inlineStr">
        <is>
          <t>LEKEBERG</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45900</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45900</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45900</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45900</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45900</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14176-2025</t>
        </is>
      </c>
      <c r="B190" s="1" t="n">
        <v>45740.52974537037</v>
      </c>
      <c r="C190" s="1" t="n">
        <v>45900</v>
      </c>
      <c r="D190" t="inlineStr">
        <is>
          <t>ÖREBRO LÄN</t>
        </is>
      </c>
      <c r="E190" t="inlineStr">
        <is>
          <t>LEKEBERG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45900</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45900</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14169-2025</t>
        </is>
      </c>
      <c r="B193" s="1" t="n">
        <v>45740.51894675926</v>
      </c>
      <c r="C193" s="1" t="n">
        <v>45900</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45900</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37598-2024</t>
        </is>
      </c>
      <c r="B195" s="1" t="n">
        <v>45541.47604166667</v>
      </c>
      <c r="C195" s="1" t="n">
        <v>45900</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10746-2023</t>
        </is>
      </c>
      <c r="B196" s="1" t="n">
        <v>44988</v>
      </c>
      <c r="C196" s="1" t="n">
        <v>45900</v>
      </c>
      <c r="D196" t="inlineStr">
        <is>
          <t>ÖREBRO LÄN</t>
        </is>
      </c>
      <c r="E196" t="inlineStr">
        <is>
          <t>LEKEBERG</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2175-2024</t>
        </is>
      </c>
      <c r="B197" s="1" t="n">
        <v>45309</v>
      </c>
      <c r="C197" s="1" t="n">
        <v>45900</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45900</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45900</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45900</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19178-2025</t>
        </is>
      </c>
      <c r="B201" s="1" t="n">
        <v>45769</v>
      </c>
      <c r="C201" s="1" t="n">
        <v>45900</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56282-2023</t>
        </is>
      </c>
      <c r="B202" s="1" t="n">
        <v>45241.82328703703</v>
      </c>
      <c r="C202" s="1" t="n">
        <v>45900</v>
      </c>
      <c r="D202" t="inlineStr">
        <is>
          <t>ÖREBRO LÄN</t>
        </is>
      </c>
      <c r="E202" t="inlineStr">
        <is>
          <t>LEKEBERG</t>
        </is>
      </c>
      <c r="G202" t="n">
        <v>6.8</v>
      </c>
      <c r="H202" t="n">
        <v>0</v>
      </c>
      <c r="I202" t="n">
        <v>0</v>
      </c>
      <c r="J202" t="n">
        <v>0</v>
      </c>
      <c r="K202" t="n">
        <v>0</v>
      </c>
      <c r="L202" t="n">
        <v>0</v>
      </c>
      <c r="M202" t="n">
        <v>0</v>
      </c>
      <c r="N202" t="n">
        <v>0</v>
      </c>
      <c r="O202" t="n">
        <v>0</v>
      </c>
      <c r="P202" t="n">
        <v>0</v>
      </c>
      <c r="Q202" t="n">
        <v>0</v>
      </c>
      <c r="R202" s="2" t="inlineStr"/>
    </row>
    <row r="203" ht="15" customHeight="1">
      <c r="A203" t="inlineStr">
        <is>
          <t>A 14702-2023</t>
        </is>
      </c>
      <c r="B203" s="1" t="n">
        <v>45014</v>
      </c>
      <c r="C203" s="1" t="n">
        <v>45900</v>
      </c>
      <c r="D203" t="inlineStr">
        <is>
          <t>ÖREBRO LÄN</t>
        </is>
      </c>
      <c r="E203" t="inlineStr">
        <is>
          <t>LEKEBERG</t>
        </is>
      </c>
      <c r="G203" t="n">
        <v>12.1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45900</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21886-2023</t>
        </is>
      </c>
      <c r="B205" s="1" t="n">
        <v>45068</v>
      </c>
      <c r="C205" s="1" t="n">
        <v>45900</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45900</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55796-2024</t>
        </is>
      </c>
      <c r="B207" s="1" t="n">
        <v>45623.44106481481</v>
      </c>
      <c r="C207" s="1" t="n">
        <v>45900</v>
      </c>
      <c r="D207" t="inlineStr">
        <is>
          <t>ÖREBRO LÄN</t>
        </is>
      </c>
      <c r="E207" t="inlineStr">
        <is>
          <t>LEKEBERG</t>
        </is>
      </c>
      <c r="G207" t="n">
        <v>1.3</v>
      </c>
      <c r="H207" t="n">
        <v>0</v>
      </c>
      <c r="I207" t="n">
        <v>0</v>
      </c>
      <c r="J207" t="n">
        <v>0</v>
      </c>
      <c r="K207" t="n">
        <v>0</v>
      </c>
      <c r="L207" t="n">
        <v>0</v>
      </c>
      <c r="M207" t="n">
        <v>0</v>
      </c>
      <c r="N207" t="n">
        <v>0</v>
      </c>
      <c r="O207" t="n">
        <v>0</v>
      </c>
      <c r="P207" t="n">
        <v>0</v>
      </c>
      <c r="Q207" t="n">
        <v>0</v>
      </c>
      <c r="R207" s="2" t="inlineStr"/>
    </row>
    <row r="208" ht="15" customHeight="1">
      <c r="A208" t="inlineStr">
        <is>
          <t>A 28620-2023</t>
        </is>
      </c>
      <c r="B208" s="1" t="n">
        <v>45103.5975462963</v>
      </c>
      <c r="C208" s="1" t="n">
        <v>45900</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45900</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6140-2025</t>
        </is>
      </c>
      <c r="B210" s="1" t="n">
        <v>45698.3849537037</v>
      </c>
      <c r="C210" s="1" t="n">
        <v>45900</v>
      </c>
      <c r="D210" t="inlineStr">
        <is>
          <t>ÖREBRO LÄN</t>
        </is>
      </c>
      <c r="E210" t="inlineStr">
        <is>
          <t>LEKEBERG</t>
        </is>
      </c>
      <c r="G210" t="n">
        <v>0.5</v>
      </c>
      <c r="H210" t="n">
        <v>0</v>
      </c>
      <c r="I210" t="n">
        <v>0</v>
      </c>
      <c r="J210" t="n">
        <v>0</v>
      </c>
      <c r="K210" t="n">
        <v>0</v>
      </c>
      <c r="L210" t="n">
        <v>0</v>
      </c>
      <c r="M210" t="n">
        <v>0</v>
      </c>
      <c r="N210" t="n">
        <v>0</v>
      </c>
      <c r="O210" t="n">
        <v>0</v>
      </c>
      <c r="P210" t="n">
        <v>0</v>
      </c>
      <c r="Q210" t="n">
        <v>0</v>
      </c>
      <c r="R210" s="2" t="inlineStr"/>
    </row>
    <row r="211" ht="15" customHeight="1">
      <c r="A211" t="inlineStr">
        <is>
          <t>A 10273-2023</t>
        </is>
      </c>
      <c r="B211" s="1" t="n">
        <v>44986</v>
      </c>
      <c r="C211" s="1" t="n">
        <v>45900</v>
      </c>
      <c r="D211" t="inlineStr">
        <is>
          <t>ÖREBRO LÄN</t>
        </is>
      </c>
      <c r="E211" t="inlineStr">
        <is>
          <t>LEKEBERG</t>
        </is>
      </c>
      <c r="G211" t="n">
        <v>12.8</v>
      </c>
      <c r="H211" t="n">
        <v>0</v>
      </c>
      <c r="I211" t="n">
        <v>0</v>
      </c>
      <c r="J211" t="n">
        <v>0</v>
      </c>
      <c r="K211" t="n">
        <v>0</v>
      </c>
      <c r="L211" t="n">
        <v>0</v>
      </c>
      <c r="M211" t="n">
        <v>0</v>
      </c>
      <c r="N211" t="n">
        <v>0</v>
      </c>
      <c r="O211" t="n">
        <v>0</v>
      </c>
      <c r="P211" t="n">
        <v>0</v>
      </c>
      <c r="Q211" t="n">
        <v>0</v>
      </c>
      <c r="R211" s="2" t="inlineStr"/>
    </row>
    <row r="212" ht="15" customHeight="1">
      <c r="A212" t="inlineStr">
        <is>
          <t>A 50405-2024</t>
        </is>
      </c>
      <c r="B212" s="1" t="n">
        <v>45601.35753472222</v>
      </c>
      <c r="C212" s="1" t="n">
        <v>45900</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c r="A213" t="inlineStr">
        <is>
          <t>A 28824-2024</t>
        </is>
      </c>
      <c r="B213" s="1" t="n">
        <v>45478</v>
      </c>
      <c r="C213" s="1" t="n">
        <v>45900</v>
      </c>
      <c r="D213" t="inlineStr">
        <is>
          <t>ÖREBRO LÄN</t>
        </is>
      </c>
      <c r="E213" t="inlineStr">
        <is>
          <t>LEKEBERG</t>
        </is>
      </c>
      <c r="F213" t="inlineStr">
        <is>
          <t>Sveaskog</t>
        </is>
      </c>
      <c r="G213" t="n">
        <v>0.9</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2025-08-31T08:31:13Z</dcterms:created>
  <dcterms:modified xmlns:dcterms="http://purl.org/dc/terms/" xmlns:xsi="http://www.w3.org/2001/XMLSchema-instance" xsi:type="dcterms:W3CDTF">2025-08-31T08:31:13Z</dcterms:modified>
</cp:coreProperties>
</file>