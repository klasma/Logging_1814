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45990</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45990</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45990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45990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45990</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11637-2025</t>
        </is>
      </c>
      <c r="B9" s="1" t="n">
        <v>45727.46729166667</v>
      </c>
      <c r="C9" s="1" t="n">
        <v>45990</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10507-2025</t>
        </is>
      </c>
      <c r="B10" s="1" t="n">
        <v>45721.39129629629</v>
      </c>
      <c r="C10" s="1" t="n">
        <v>45990</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44857-2025</t>
        </is>
      </c>
      <c r="B11" s="1" t="n">
        <v>45918.45165509259</v>
      </c>
      <c r="C11" s="1" t="n">
        <v>45990</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19176-2025</t>
        </is>
      </c>
      <c r="B12" s="1" t="n">
        <v>45769</v>
      </c>
      <c r="C12" s="1" t="n">
        <v>45990</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9690-2024</t>
        </is>
      </c>
      <c r="B13" s="1" t="n">
        <v>45362</v>
      </c>
      <c r="C13" s="1" t="n">
        <v>45990</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58430-2025</t>
        </is>
      </c>
      <c r="B14" s="1" t="n">
        <v>45985.60377314815</v>
      </c>
      <c r="C14" s="1" t="n">
        <v>45990</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290-2025</t>
        </is>
      </c>
      <c r="B15" s="1" t="n">
        <v>45656</v>
      </c>
      <c r="C15" s="1" t="n">
        <v>45990</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10680-2024</t>
        </is>
      </c>
      <c r="B16" s="1" t="n">
        <v>45368</v>
      </c>
      <c r="C16" s="1" t="n">
        <v>45990</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28821-2024</t>
        </is>
      </c>
      <c r="B17" s="1" t="n">
        <v>45478.65488425926</v>
      </c>
      <c r="C17" s="1" t="n">
        <v>45990</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45990</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22805-2025</t>
        </is>
      </c>
      <c r="B19" s="1" t="n">
        <v>45789</v>
      </c>
      <c r="C19" s="1" t="n">
        <v>45990</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41241-2024</t>
        </is>
      </c>
      <c r="B20" s="1" t="n">
        <v>45559</v>
      </c>
      <c r="C20" s="1" t="n">
        <v>45990</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14365-2021</t>
        </is>
      </c>
      <c r="B21" s="1" t="n">
        <v>44279</v>
      </c>
      <c r="C21" s="1" t="n">
        <v>45990</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45990</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45990</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45990</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45990</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45990</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45990</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45990</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45990</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45990</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45990</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45990</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45990</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45990</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45990</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45990</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45990</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45990</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45990</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45990</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45990</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45990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45990</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45990</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45990</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45990</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45990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45990</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45990</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45990</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45990</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45990</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45990</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61492-2022</t>
        </is>
      </c>
      <c r="B56" s="1" t="n">
        <v>44916.47408564815</v>
      </c>
      <c r="C56" s="1" t="n">
        <v>45990</v>
      </c>
      <c r="D56" t="inlineStr">
        <is>
          <t>ÖREBRO LÄN</t>
        </is>
      </c>
      <c r="E56" t="inlineStr">
        <is>
          <t>LEKEBERG</t>
        </is>
      </c>
      <c r="G56" t="n">
        <v>5.9</v>
      </c>
      <c r="H56" t="n">
        <v>0</v>
      </c>
      <c r="I56" t="n">
        <v>0</v>
      </c>
      <c r="J56" t="n">
        <v>0</v>
      </c>
      <c r="K56" t="n">
        <v>0</v>
      </c>
      <c r="L56" t="n">
        <v>0</v>
      </c>
      <c r="M56" t="n">
        <v>0</v>
      </c>
      <c r="N56" t="n">
        <v>0</v>
      </c>
      <c r="O56" t="n">
        <v>0</v>
      </c>
      <c r="P56" t="n">
        <v>0</v>
      </c>
      <c r="Q56" t="n">
        <v>0</v>
      </c>
      <c r="R56" s="2" t="inlineStr"/>
    </row>
    <row r="57" ht="15" customHeight="1">
      <c r="A57" t="inlineStr">
        <is>
          <t>A 11676-2024</t>
        </is>
      </c>
      <c r="B57" s="1" t="n">
        <v>45373.57236111111</v>
      </c>
      <c r="C57" s="1" t="n">
        <v>45990</v>
      </c>
      <c r="D57" t="inlineStr">
        <is>
          <t>ÖREBRO LÄN</t>
        </is>
      </c>
      <c r="E57" t="inlineStr">
        <is>
          <t>LEKEBERG</t>
        </is>
      </c>
      <c r="G57" t="n">
        <v>0.3</v>
      </c>
      <c r="H57" t="n">
        <v>0</v>
      </c>
      <c r="I57" t="n">
        <v>0</v>
      </c>
      <c r="J57" t="n">
        <v>0</v>
      </c>
      <c r="K57" t="n">
        <v>0</v>
      </c>
      <c r="L57" t="n">
        <v>0</v>
      </c>
      <c r="M57" t="n">
        <v>0</v>
      </c>
      <c r="N57" t="n">
        <v>0</v>
      </c>
      <c r="O57" t="n">
        <v>0</v>
      </c>
      <c r="P57" t="n">
        <v>0</v>
      </c>
      <c r="Q57" t="n">
        <v>0</v>
      </c>
      <c r="R57" s="2" t="inlineStr"/>
    </row>
    <row r="58" ht="15" customHeight="1">
      <c r="A58" t="inlineStr">
        <is>
          <t>A 56267-2021</t>
        </is>
      </c>
      <c r="B58" s="1" t="n">
        <v>44479.61296296296</v>
      </c>
      <c r="C58" s="1" t="n">
        <v>45990</v>
      </c>
      <c r="D58" t="inlineStr">
        <is>
          <t>ÖREBRO LÄN</t>
        </is>
      </c>
      <c r="E58" t="inlineStr">
        <is>
          <t>LEKEBERG</t>
        </is>
      </c>
      <c r="G58" t="n">
        <v>2.4</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45990</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45990</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34885-2022</t>
        </is>
      </c>
      <c r="B61" s="1" t="n">
        <v>44796.51725694445</v>
      </c>
      <c r="C61" s="1" t="n">
        <v>45990</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45990</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45990</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45990</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39871-2024</t>
        </is>
      </c>
      <c r="B65" s="1" t="n">
        <v>45553</v>
      </c>
      <c r="C65" s="1" t="n">
        <v>45990</v>
      </c>
      <c r="D65" t="inlineStr">
        <is>
          <t>ÖREBRO LÄN</t>
        </is>
      </c>
      <c r="E65" t="inlineStr">
        <is>
          <t>LEKEBERG</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45990</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45990</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12961-2023</t>
        </is>
      </c>
      <c r="B68" s="1" t="n">
        <v>45001.80307870371</v>
      </c>
      <c r="C68" s="1" t="n">
        <v>45990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22580-2024</t>
        </is>
      </c>
      <c r="B69" s="1" t="n">
        <v>45447.5825462963</v>
      </c>
      <c r="C69" s="1" t="n">
        <v>45990</v>
      </c>
      <c r="D69" t="inlineStr">
        <is>
          <t>ÖREBRO LÄN</t>
        </is>
      </c>
      <c r="E69" t="inlineStr">
        <is>
          <t>LEKEBERG</t>
        </is>
      </c>
      <c r="G69" t="n">
        <v>7.3</v>
      </c>
      <c r="H69" t="n">
        <v>0</v>
      </c>
      <c r="I69" t="n">
        <v>0</v>
      </c>
      <c r="J69" t="n">
        <v>0</v>
      </c>
      <c r="K69" t="n">
        <v>0</v>
      </c>
      <c r="L69" t="n">
        <v>0</v>
      </c>
      <c r="M69" t="n">
        <v>0</v>
      </c>
      <c r="N69" t="n">
        <v>0</v>
      </c>
      <c r="O69" t="n">
        <v>0</v>
      </c>
      <c r="P69" t="n">
        <v>0</v>
      </c>
      <c r="Q69" t="n">
        <v>0</v>
      </c>
      <c r="R69" s="2" t="inlineStr"/>
    </row>
    <row r="70" ht="15" customHeight="1">
      <c r="A70" t="inlineStr">
        <is>
          <t>A 2175-2024</t>
        </is>
      </c>
      <c r="B70" s="1" t="n">
        <v>45309</v>
      </c>
      <c r="C70" s="1" t="n">
        <v>45990</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45990</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45990</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45990</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33963-2023</t>
        </is>
      </c>
      <c r="B74" s="1" t="n">
        <v>45134.62525462963</v>
      </c>
      <c r="C74" s="1" t="n">
        <v>45990</v>
      </c>
      <c r="D74" t="inlineStr">
        <is>
          <t>ÖREBRO LÄN</t>
        </is>
      </c>
      <c r="E74" t="inlineStr">
        <is>
          <t>LEKEBERG</t>
        </is>
      </c>
      <c r="G74" t="n">
        <v>2.8</v>
      </c>
      <c r="H74" t="n">
        <v>0</v>
      </c>
      <c r="I74" t="n">
        <v>0</v>
      </c>
      <c r="J74" t="n">
        <v>0</v>
      </c>
      <c r="K74" t="n">
        <v>0</v>
      </c>
      <c r="L74" t="n">
        <v>0</v>
      </c>
      <c r="M74" t="n">
        <v>0</v>
      </c>
      <c r="N74" t="n">
        <v>0</v>
      </c>
      <c r="O74" t="n">
        <v>0</v>
      </c>
      <c r="P74" t="n">
        <v>0</v>
      </c>
      <c r="Q74" t="n">
        <v>0</v>
      </c>
      <c r="R74" s="2" t="inlineStr"/>
    </row>
    <row r="75" ht="15" customHeight="1">
      <c r="A75" t="inlineStr">
        <is>
          <t>A 46398-2021</t>
        </is>
      </c>
      <c r="B75" s="1" t="n">
        <v>44443.77010416667</v>
      </c>
      <c r="C75" s="1" t="n">
        <v>45990</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38922-2023</t>
        </is>
      </c>
      <c r="B76" s="1" t="n">
        <v>45163.57961805556</v>
      </c>
      <c r="C76" s="1" t="n">
        <v>45990</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28620-2023</t>
        </is>
      </c>
      <c r="B77" s="1" t="n">
        <v>45103.5975462963</v>
      </c>
      <c r="C77" s="1" t="n">
        <v>45990</v>
      </c>
      <c r="D77" t="inlineStr">
        <is>
          <t>ÖREBRO LÄN</t>
        </is>
      </c>
      <c r="E77" t="inlineStr">
        <is>
          <t>LEKEBERG</t>
        </is>
      </c>
      <c r="G77" t="n">
        <v>0.6</v>
      </c>
      <c r="H77" t="n">
        <v>0</v>
      </c>
      <c r="I77" t="n">
        <v>0</v>
      </c>
      <c r="J77" t="n">
        <v>0</v>
      </c>
      <c r="K77" t="n">
        <v>0</v>
      </c>
      <c r="L77" t="n">
        <v>0</v>
      </c>
      <c r="M77" t="n">
        <v>0</v>
      </c>
      <c r="N77" t="n">
        <v>0</v>
      </c>
      <c r="O77" t="n">
        <v>0</v>
      </c>
      <c r="P77" t="n">
        <v>0</v>
      </c>
      <c r="Q77" t="n">
        <v>0</v>
      </c>
      <c r="R77" s="2" t="inlineStr"/>
    </row>
    <row r="78" ht="15" customHeight="1">
      <c r="A78" t="inlineStr">
        <is>
          <t>A 18274-2024</t>
        </is>
      </c>
      <c r="B78" s="1" t="n">
        <v>45421.70460648148</v>
      </c>
      <c r="C78" s="1" t="n">
        <v>45990</v>
      </c>
      <c r="D78" t="inlineStr">
        <is>
          <t>ÖREBRO LÄN</t>
        </is>
      </c>
      <c r="E78" t="inlineStr">
        <is>
          <t>LEKEBERG</t>
        </is>
      </c>
      <c r="G78" t="n">
        <v>0.4</v>
      </c>
      <c r="H78" t="n">
        <v>0</v>
      </c>
      <c r="I78" t="n">
        <v>0</v>
      </c>
      <c r="J78" t="n">
        <v>0</v>
      </c>
      <c r="K78" t="n">
        <v>0</v>
      </c>
      <c r="L78" t="n">
        <v>0</v>
      </c>
      <c r="M78" t="n">
        <v>0</v>
      </c>
      <c r="N78" t="n">
        <v>0</v>
      </c>
      <c r="O78" t="n">
        <v>0</v>
      </c>
      <c r="P78" t="n">
        <v>0</v>
      </c>
      <c r="Q78" t="n">
        <v>0</v>
      </c>
      <c r="R78" s="2" t="inlineStr"/>
    </row>
    <row r="79" ht="15" customHeight="1">
      <c r="A79" t="inlineStr">
        <is>
          <t>A 37598-2024</t>
        </is>
      </c>
      <c r="B79" s="1" t="n">
        <v>45541.47604166667</v>
      </c>
      <c r="C79" s="1" t="n">
        <v>45990</v>
      </c>
      <c r="D79" t="inlineStr">
        <is>
          <t>ÖREBRO LÄN</t>
        </is>
      </c>
      <c r="E79" t="inlineStr">
        <is>
          <t>LEKEBERG</t>
        </is>
      </c>
      <c r="G79" t="n">
        <v>1.7</v>
      </c>
      <c r="H79" t="n">
        <v>0</v>
      </c>
      <c r="I79" t="n">
        <v>0</v>
      </c>
      <c r="J79" t="n">
        <v>0</v>
      </c>
      <c r="K79" t="n">
        <v>0</v>
      </c>
      <c r="L79" t="n">
        <v>0</v>
      </c>
      <c r="M79" t="n">
        <v>0</v>
      </c>
      <c r="N79" t="n">
        <v>0</v>
      </c>
      <c r="O79" t="n">
        <v>0</v>
      </c>
      <c r="P79" t="n">
        <v>0</v>
      </c>
      <c r="Q79" t="n">
        <v>0</v>
      </c>
      <c r="R79" s="2" t="inlineStr"/>
    </row>
    <row r="80" ht="15" customHeight="1">
      <c r="A80" t="inlineStr">
        <is>
          <t>A 12596-2025</t>
        </is>
      </c>
      <c r="B80" s="1" t="n">
        <v>45733.28476851852</v>
      </c>
      <c r="C80" s="1" t="n">
        <v>45990</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45990</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5313-2024</t>
        </is>
      </c>
      <c r="B82" s="1" t="n">
        <v>45331.39503472222</v>
      </c>
      <c r="C82" s="1" t="n">
        <v>45990</v>
      </c>
      <c r="D82" t="inlineStr">
        <is>
          <t>ÖREBRO LÄN</t>
        </is>
      </c>
      <c r="E82" t="inlineStr">
        <is>
          <t>LEKEBERG</t>
        </is>
      </c>
      <c r="G82" t="n">
        <v>8.699999999999999</v>
      </c>
      <c r="H82" t="n">
        <v>0</v>
      </c>
      <c r="I82" t="n">
        <v>0</v>
      </c>
      <c r="J82" t="n">
        <v>0</v>
      </c>
      <c r="K82" t="n">
        <v>0</v>
      </c>
      <c r="L82" t="n">
        <v>0</v>
      </c>
      <c r="M82" t="n">
        <v>0</v>
      </c>
      <c r="N82" t="n">
        <v>0</v>
      </c>
      <c r="O82" t="n">
        <v>0</v>
      </c>
      <c r="P82" t="n">
        <v>0</v>
      </c>
      <c r="Q82" t="n">
        <v>0</v>
      </c>
      <c r="R82" s="2" t="inlineStr"/>
    </row>
    <row r="83" ht="15" customHeight="1">
      <c r="A83" t="inlineStr">
        <is>
          <t>A 12516-2025</t>
        </is>
      </c>
      <c r="B83" s="1" t="n">
        <v>45730.65107638889</v>
      </c>
      <c r="C83" s="1" t="n">
        <v>45990</v>
      </c>
      <c r="D83" t="inlineStr">
        <is>
          <t>ÖREBRO LÄN</t>
        </is>
      </c>
      <c r="E83" t="inlineStr">
        <is>
          <t>LEKEBERG</t>
        </is>
      </c>
      <c r="F83" t="inlineStr">
        <is>
          <t>Allmännings- och besparingsskogar</t>
        </is>
      </c>
      <c r="G83" t="n">
        <v>4.8</v>
      </c>
      <c r="H83" t="n">
        <v>0</v>
      </c>
      <c r="I83" t="n">
        <v>0</v>
      </c>
      <c r="J83" t="n">
        <v>0</v>
      </c>
      <c r="K83" t="n">
        <v>0</v>
      </c>
      <c r="L83" t="n">
        <v>0</v>
      </c>
      <c r="M83" t="n">
        <v>0</v>
      </c>
      <c r="N83" t="n">
        <v>0</v>
      </c>
      <c r="O83" t="n">
        <v>0</v>
      </c>
      <c r="P83" t="n">
        <v>0</v>
      </c>
      <c r="Q83" t="n">
        <v>0</v>
      </c>
      <c r="R83" s="2" t="inlineStr"/>
    </row>
    <row r="84" ht="15" customHeight="1">
      <c r="A84" t="inlineStr">
        <is>
          <t>A 56282-2023</t>
        </is>
      </c>
      <c r="B84" s="1" t="n">
        <v>45241.82328703703</v>
      </c>
      <c r="C84" s="1" t="n">
        <v>45990</v>
      </c>
      <c r="D84" t="inlineStr">
        <is>
          <t>ÖREBRO LÄN</t>
        </is>
      </c>
      <c r="E84" t="inlineStr">
        <is>
          <t>LEKEBERG</t>
        </is>
      </c>
      <c r="G84" t="n">
        <v>6.8</v>
      </c>
      <c r="H84" t="n">
        <v>0</v>
      </c>
      <c r="I84" t="n">
        <v>0</v>
      </c>
      <c r="J84" t="n">
        <v>0</v>
      </c>
      <c r="K84" t="n">
        <v>0</v>
      </c>
      <c r="L84" t="n">
        <v>0</v>
      </c>
      <c r="M84" t="n">
        <v>0</v>
      </c>
      <c r="N84" t="n">
        <v>0</v>
      </c>
      <c r="O84" t="n">
        <v>0</v>
      </c>
      <c r="P84" t="n">
        <v>0</v>
      </c>
      <c r="Q84" t="n">
        <v>0</v>
      </c>
      <c r="R84" s="2" t="inlineStr"/>
    </row>
    <row r="85" ht="15" customHeight="1">
      <c r="A85" t="inlineStr">
        <is>
          <t>A 44650-2024</t>
        </is>
      </c>
      <c r="B85" s="1" t="n">
        <v>45574</v>
      </c>
      <c r="C85" s="1" t="n">
        <v>45990</v>
      </c>
      <c r="D85" t="inlineStr">
        <is>
          <t>ÖREBRO LÄN</t>
        </is>
      </c>
      <c r="E85" t="inlineStr">
        <is>
          <t>LEKEBERG</t>
        </is>
      </c>
      <c r="G85" t="n">
        <v>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45990</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42197-2025</t>
        </is>
      </c>
      <c r="B87" s="1" t="n">
        <v>45904.48486111111</v>
      </c>
      <c r="C87" s="1" t="n">
        <v>45990</v>
      </c>
      <c r="D87" t="inlineStr">
        <is>
          <t>ÖREBRO LÄN</t>
        </is>
      </c>
      <c r="E87" t="inlineStr">
        <is>
          <t>LEKEBERG</t>
        </is>
      </c>
      <c r="G87" t="n">
        <v>1.5</v>
      </c>
      <c r="H87" t="n">
        <v>0</v>
      </c>
      <c r="I87" t="n">
        <v>0</v>
      </c>
      <c r="J87" t="n">
        <v>0</v>
      </c>
      <c r="K87" t="n">
        <v>0</v>
      </c>
      <c r="L87" t="n">
        <v>0</v>
      </c>
      <c r="M87" t="n">
        <v>0</v>
      </c>
      <c r="N87" t="n">
        <v>0</v>
      </c>
      <c r="O87" t="n">
        <v>0</v>
      </c>
      <c r="P87" t="n">
        <v>0</v>
      </c>
      <c r="Q87" t="n">
        <v>0</v>
      </c>
      <c r="R87" s="2" t="inlineStr"/>
    </row>
    <row r="88" ht="15" customHeight="1">
      <c r="A88" t="inlineStr">
        <is>
          <t>A 29773-2025</t>
        </is>
      </c>
      <c r="B88" s="1" t="n">
        <v>45825.63271990741</v>
      </c>
      <c r="C88" s="1" t="n">
        <v>45990</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45990</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37042-2024</t>
        </is>
      </c>
      <c r="B90" s="1" t="n">
        <v>45539</v>
      </c>
      <c r="C90" s="1" t="n">
        <v>45990</v>
      </c>
      <c r="D90" t="inlineStr">
        <is>
          <t>ÖREBRO LÄN</t>
        </is>
      </c>
      <c r="E90" t="inlineStr">
        <is>
          <t>LEKEBERG</t>
        </is>
      </c>
      <c r="G90" t="n">
        <v>2.4</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45990</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19044-2023</t>
        </is>
      </c>
      <c r="B92" s="1" t="n">
        <v>45047</v>
      </c>
      <c r="C92" s="1" t="n">
        <v>45990</v>
      </c>
      <c r="D92" t="inlineStr">
        <is>
          <t>ÖREBRO LÄN</t>
        </is>
      </c>
      <c r="E92" t="inlineStr">
        <is>
          <t>LEKEBERG</t>
        </is>
      </c>
      <c r="G92" t="n">
        <v>0.3</v>
      </c>
      <c r="H92" t="n">
        <v>0</v>
      </c>
      <c r="I92" t="n">
        <v>0</v>
      </c>
      <c r="J92" t="n">
        <v>0</v>
      </c>
      <c r="K92" t="n">
        <v>0</v>
      </c>
      <c r="L92" t="n">
        <v>0</v>
      </c>
      <c r="M92" t="n">
        <v>0</v>
      </c>
      <c r="N92" t="n">
        <v>0</v>
      </c>
      <c r="O92" t="n">
        <v>0</v>
      </c>
      <c r="P92" t="n">
        <v>0</v>
      </c>
      <c r="Q92" t="n">
        <v>0</v>
      </c>
      <c r="R92" s="2" t="inlineStr"/>
    </row>
    <row r="93" ht="15" customHeight="1">
      <c r="A93" t="inlineStr">
        <is>
          <t>A 19045-2023</t>
        </is>
      </c>
      <c r="B93" s="1" t="n">
        <v>45047</v>
      </c>
      <c r="C93" s="1" t="n">
        <v>45990</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43621-2025</t>
        </is>
      </c>
      <c r="B94" s="1" t="n">
        <v>45911.681875</v>
      </c>
      <c r="C94" s="1" t="n">
        <v>45990</v>
      </c>
      <c r="D94" t="inlineStr">
        <is>
          <t>ÖREBRO LÄN</t>
        </is>
      </c>
      <c r="E94" t="inlineStr">
        <is>
          <t>LEKEBERG</t>
        </is>
      </c>
      <c r="G94" t="n">
        <v>0.5</v>
      </c>
      <c r="H94" t="n">
        <v>0</v>
      </c>
      <c r="I94" t="n">
        <v>0</v>
      </c>
      <c r="J94" t="n">
        <v>0</v>
      </c>
      <c r="K94" t="n">
        <v>0</v>
      </c>
      <c r="L94" t="n">
        <v>0</v>
      </c>
      <c r="M94" t="n">
        <v>0</v>
      </c>
      <c r="N94" t="n">
        <v>0</v>
      </c>
      <c r="O94" t="n">
        <v>0</v>
      </c>
      <c r="P94" t="n">
        <v>0</v>
      </c>
      <c r="Q94" t="n">
        <v>0</v>
      </c>
      <c r="R94" s="2" t="inlineStr"/>
    </row>
    <row r="95" ht="15" customHeight="1">
      <c r="A95" t="inlineStr">
        <is>
          <t>A 10273-2023</t>
        </is>
      </c>
      <c r="B95" s="1" t="n">
        <v>44986</v>
      </c>
      <c r="C95" s="1" t="n">
        <v>45990</v>
      </c>
      <c r="D95" t="inlineStr">
        <is>
          <t>ÖREBRO LÄN</t>
        </is>
      </c>
      <c r="E95" t="inlineStr">
        <is>
          <t>LEKEBERG</t>
        </is>
      </c>
      <c r="G95" t="n">
        <v>12.8</v>
      </c>
      <c r="H95" t="n">
        <v>0</v>
      </c>
      <c r="I95" t="n">
        <v>0</v>
      </c>
      <c r="J95" t="n">
        <v>0</v>
      </c>
      <c r="K95" t="n">
        <v>0</v>
      </c>
      <c r="L95" t="n">
        <v>0</v>
      </c>
      <c r="M95" t="n">
        <v>0</v>
      </c>
      <c r="N95" t="n">
        <v>0</v>
      </c>
      <c r="O95" t="n">
        <v>0</v>
      </c>
      <c r="P95" t="n">
        <v>0</v>
      </c>
      <c r="Q95" t="n">
        <v>0</v>
      </c>
      <c r="R95" s="2" t="inlineStr"/>
    </row>
    <row r="96" ht="15" customHeight="1">
      <c r="A96" t="inlineStr">
        <is>
          <t>A 19178-2025</t>
        </is>
      </c>
      <c r="B96" s="1" t="n">
        <v>45769</v>
      </c>
      <c r="C96" s="1" t="n">
        <v>45990</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33204-2025</t>
        </is>
      </c>
      <c r="B97" s="1" t="n">
        <v>45840.61181712963</v>
      </c>
      <c r="C97" s="1" t="n">
        <v>45990</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26121-2023</t>
        </is>
      </c>
      <c r="B98" s="1" t="n">
        <v>45091.44384259259</v>
      </c>
      <c r="C98" s="1" t="n">
        <v>45990</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30722-2023</t>
        </is>
      </c>
      <c r="B99" s="1" t="n">
        <v>45112</v>
      </c>
      <c r="C99" s="1" t="n">
        <v>45990</v>
      </c>
      <c r="D99" t="inlineStr">
        <is>
          <t>ÖREBRO LÄN</t>
        </is>
      </c>
      <c r="E99" t="inlineStr">
        <is>
          <t>LEKEBERG</t>
        </is>
      </c>
      <c r="F99" t="inlineStr">
        <is>
          <t>Allmännings- och besparingsskogar</t>
        </is>
      </c>
      <c r="G99" t="n">
        <v>21.2</v>
      </c>
      <c r="H99" t="n">
        <v>0</v>
      </c>
      <c r="I99" t="n">
        <v>0</v>
      </c>
      <c r="J99" t="n">
        <v>0</v>
      </c>
      <c r="K99" t="n">
        <v>0</v>
      </c>
      <c r="L99" t="n">
        <v>0</v>
      </c>
      <c r="M99" t="n">
        <v>0</v>
      </c>
      <c r="N99" t="n">
        <v>0</v>
      </c>
      <c r="O99" t="n">
        <v>0</v>
      </c>
      <c r="P99" t="n">
        <v>0</v>
      </c>
      <c r="Q99" t="n">
        <v>0</v>
      </c>
      <c r="R99" s="2" t="inlineStr"/>
    </row>
    <row r="100" ht="15" customHeight="1">
      <c r="A100" t="inlineStr">
        <is>
          <t>A 6101-2024</t>
        </is>
      </c>
      <c r="B100" s="1" t="n">
        <v>45337</v>
      </c>
      <c r="C100" s="1" t="n">
        <v>45990</v>
      </c>
      <c r="D100" t="inlineStr">
        <is>
          <t>ÖREBRO LÄN</t>
        </is>
      </c>
      <c r="E100" t="inlineStr">
        <is>
          <t>LEKEBERG</t>
        </is>
      </c>
      <c r="G100" t="n">
        <v>4.2</v>
      </c>
      <c r="H100" t="n">
        <v>0</v>
      </c>
      <c r="I100" t="n">
        <v>0</v>
      </c>
      <c r="J100" t="n">
        <v>0</v>
      </c>
      <c r="K100" t="n">
        <v>0</v>
      </c>
      <c r="L100" t="n">
        <v>0</v>
      </c>
      <c r="M100" t="n">
        <v>0</v>
      </c>
      <c r="N100" t="n">
        <v>0</v>
      </c>
      <c r="O100" t="n">
        <v>0</v>
      </c>
      <c r="P100" t="n">
        <v>0</v>
      </c>
      <c r="Q100" t="n">
        <v>0</v>
      </c>
      <c r="R100" s="2" t="inlineStr"/>
    </row>
    <row r="101" ht="15" customHeight="1">
      <c r="A101" t="inlineStr">
        <is>
          <t>A 53407-2025</t>
        </is>
      </c>
      <c r="B101" s="1" t="n">
        <v>45959.57350694444</v>
      </c>
      <c r="C101" s="1" t="n">
        <v>45990</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2039-2025</t>
        </is>
      </c>
      <c r="B102" s="1" t="n">
        <v>45672</v>
      </c>
      <c r="C102" s="1" t="n">
        <v>45990</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27638-2025</t>
        </is>
      </c>
      <c r="B103" s="1" t="n">
        <v>45813</v>
      </c>
      <c r="C103" s="1" t="n">
        <v>45990</v>
      </c>
      <c r="D103" t="inlineStr">
        <is>
          <t>ÖREBRO LÄN</t>
        </is>
      </c>
      <c r="E103" t="inlineStr">
        <is>
          <t>LEKEBERG</t>
        </is>
      </c>
      <c r="G103" t="n">
        <v>1.1</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45990</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39938-2025</t>
        </is>
      </c>
      <c r="B105" s="1" t="n">
        <v>45891</v>
      </c>
      <c r="C105" s="1" t="n">
        <v>45990</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21886-2023</t>
        </is>
      </c>
      <c r="B106" s="1" t="n">
        <v>45068</v>
      </c>
      <c r="C106" s="1" t="n">
        <v>45990</v>
      </c>
      <c r="D106" t="inlineStr">
        <is>
          <t>ÖREBRO LÄN</t>
        </is>
      </c>
      <c r="E106" t="inlineStr">
        <is>
          <t>LEKEBERG</t>
        </is>
      </c>
      <c r="G106" t="n">
        <v>2.1</v>
      </c>
      <c r="H106" t="n">
        <v>0</v>
      </c>
      <c r="I106" t="n">
        <v>0</v>
      </c>
      <c r="J106" t="n">
        <v>0</v>
      </c>
      <c r="K106" t="n">
        <v>0</v>
      </c>
      <c r="L106" t="n">
        <v>0</v>
      </c>
      <c r="M106" t="n">
        <v>0</v>
      </c>
      <c r="N106" t="n">
        <v>0</v>
      </c>
      <c r="O106" t="n">
        <v>0</v>
      </c>
      <c r="P106" t="n">
        <v>0</v>
      </c>
      <c r="Q106" t="n">
        <v>0</v>
      </c>
      <c r="R106" s="2" t="inlineStr"/>
    </row>
    <row r="107" ht="15" customHeight="1">
      <c r="A107" t="inlineStr">
        <is>
          <t>A 21886-2023</t>
        </is>
      </c>
      <c r="B107" s="1" t="n">
        <v>45068</v>
      </c>
      <c r="C107" s="1" t="n">
        <v>45990</v>
      </c>
      <c r="D107" t="inlineStr">
        <is>
          <t>ÖREBRO LÄN</t>
        </is>
      </c>
      <c r="E107" t="inlineStr">
        <is>
          <t>LEKEBERG</t>
        </is>
      </c>
      <c r="G107" t="n">
        <v>0.3</v>
      </c>
      <c r="H107" t="n">
        <v>0</v>
      </c>
      <c r="I107" t="n">
        <v>0</v>
      </c>
      <c r="J107" t="n">
        <v>0</v>
      </c>
      <c r="K107" t="n">
        <v>0</v>
      </c>
      <c r="L107" t="n">
        <v>0</v>
      </c>
      <c r="M107" t="n">
        <v>0</v>
      </c>
      <c r="N107" t="n">
        <v>0</v>
      </c>
      <c r="O107" t="n">
        <v>0</v>
      </c>
      <c r="P107" t="n">
        <v>0</v>
      </c>
      <c r="Q107" t="n">
        <v>0</v>
      </c>
      <c r="R107" s="2" t="inlineStr"/>
    </row>
    <row r="108" ht="15" customHeight="1">
      <c r="A108" t="inlineStr">
        <is>
          <t>A 9769-2025</t>
        </is>
      </c>
      <c r="B108" s="1" t="n">
        <v>45716.48861111111</v>
      </c>
      <c r="C108" s="1" t="n">
        <v>45990</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1599-2025</t>
        </is>
      </c>
      <c r="B109" s="1" t="n">
        <v>45670.58930555556</v>
      </c>
      <c r="C109" s="1" t="n">
        <v>45990</v>
      </c>
      <c r="D109" t="inlineStr">
        <is>
          <t>ÖREBRO LÄN</t>
        </is>
      </c>
      <c r="E109" t="inlineStr">
        <is>
          <t>LEKEBERG</t>
        </is>
      </c>
      <c r="F109" t="inlineStr">
        <is>
          <t>Allmännings- och besparingsskogar</t>
        </is>
      </c>
      <c r="G109" t="n">
        <v>18.8</v>
      </c>
      <c r="H109" t="n">
        <v>0</v>
      </c>
      <c r="I109" t="n">
        <v>0</v>
      </c>
      <c r="J109" t="n">
        <v>0</v>
      </c>
      <c r="K109" t="n">
        <v>0</v>
      </c>
      <c r="L109" t="n">
        <v>0</v>
      </c>
      <c r="M109" t="n">
        <v>0</v>
      </c>
      <c r="N109" t="n">
        <v>0</v>
      </c>
      <c r="O109" t="n">
        <v>0</v>
      </c>
      <c r="P109" t="n">
        <v>0</v>
      </c>
      <c r="Q109" t="n">
        <v>0</v>
      </c>
      <c r="R109" s="2" t="inlineStr"/>
    </row>
    <row r="110" ht="15" customHeight="1">
      <c r="A110" t="inlineStr">
        <is>
          <t>A 44343-2022</t>
        </is>
      </c>
      <c r="B110" s="1" t="n">
        <v>44839.67604166667</v>
      </c>
      <c r="C110" s="1" t="n">
        <v>45990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11794-2023</t>
        </is>
      </c>
      <c r="B111" s="1" t="n">
        <v>44994</v>
      </c>
      <c r="C111" s="1" t="n">
        <v>45990</v>
      </c>
      <c r="D111" t="inlineStr">
        <is>
          <t>ÖREBRO LÄN</t>
        </is>
      </c>
      <c r="E111" t="inlineStr">
        <is>
          <t>LEKEBERG</t>
        </is>
      </c>
      <c r="G111" t="n">
        <v>7.6</v>
      </c>
      <c r="H111" t="n">
        <v>0</v>
      </c>
      <c r="I111" t="n">
        <v>0</v>
      </c>
      <c r="J111" t="n">
        <v>0</v>
      </c>
      <c r="K111" t="n">
        <v>0</v>
      </c>
      <c r="L111" t="n">
        <v>0</v>
      </c>
      <c r="M111" t="n">
        <v>0</v>
      </c>
      <c r="N111" t="n">
        <v>0</v>
      </c>
      <c r="O111" t="n">
        <v>0</v>
      </c>
      <c r="P111" t="n">
        <v>0</v>
      </c>
      <c r="Q111" t="n">
        <v>0</v>
      </c>
      <c r="R111" s="2" t="inlineStr"/>
    </row>
    <row r="112" ht="15" customHeight="1">
      <c r="A112" t="inlineStr">
        <is>
          <t>A 11289-2025</t>
        </is>
      </c>
      <c r="B112" s="1" t="n">
        <v>45726.42762731481</v>
      </c>
      <c r="C112" s="1" t="n">
        <v>45990</v>
      </c>
      <c r="D112" t="inlineStr">
        <is>
          <t>ÖREBRO LÄN</t>
        </is>
      </c>
      <c r="E112" t="inlineStr">
        <is>
          <t>LEKEBERG</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40329-2024</t>
        </is>
      </c>
      <c r="B113" s="1" t="n">
        <v>45555</v>
      </c>
      <c r="C113" s="1" t="n">
        <v>45990</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27947-2023</t>
        </is>
      </c>
      <c r="B114" s="1" t="n">
        <v>45098.66921296297</v>
      </c>
      <c r="C114" s="1" t="n">
        <v>45990</v>
      </c>
      <c r="D114" t="inlineStr">
        <is>
          <t>ÖREBRO LÄN</t>
        </is>
      </c>
      <c r="E114" t="inlineStr">
        <is>
          <t>LEKEBERG</t>
        </is>
      </c>
      <c r="G114" t="n">
        <v>0.5</v>
      </c>
      <c r="H114" t="n">
        <v>0</v>
      </c>
      <c r="I114" t="n">
        <v>0</v>
      </c>
      <c r="J114" t="n">
        <v>0</v>
      </c>
      <c r="K114" t="n">
        <v>0</v>
      </c>
      <c r="L114" t="n">
        <v>0</v>
      </c>
      <c r="M114" t="n">
        <v>0</v>
      </c>
      <c r="N114" t="n">
        <v>0</v>
      </c>
      <c r="O114" t="n">
        <v>0</v>
      </c>
      <c r="P114" t="n">
        <v>0</v>
      </c>
      <c r="Q114" t="n">
        <v>0</v>
      </c>
      <c r="R114" s="2" t="inlineStr"/>
    </row>
    <row r="115" ht="15" customHeight="1">
      <c r="A115" t="inlineStr">
        <is>
          <t>A 33336-2023</t>
        </is>
      </c>
      <c r="B115" s="1" t="n">
        <v>45128.33729166666</v>
      </c>
      <c r="C115" s="1" t="n">
        <v>45990</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33337-2023</t>
        </is>
      </c>
      <c r="B116" s="1" t="n">
        <v>45128.3400925926</v>
      </c>
      <c r="C116" s="1" t="n">
        <v>45990</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54770-2025</t>
        </is>
      </c>
      <c r="B117" s="1" t="n">
        <v>45966.60803240741</v>
      </c>
      <c r="C117" s="1" t="n">
        <v>45990</v>
      </c>
      <c r="D117" t="inlineStr">
        <is>
          <t>ÖREBRO LÄN</t>
        </is>
      </c>
      <c r="E117" t="inlineStr">
        <is>
          <t>LEKEBERG</t>
        </is>
      </c>
      <c r="G117" t="n">
        <v>4.5</v>
      </c>
      <c r="H117" t="n">
        <v>0</v>
      </c>
      <c r="I117" t="n">
        <v>0</v>
      </c>
      <c r="J117" t="n">
        <v>0</v>
      </c>
      <c r="K117" t="n">
        <v>0</v>
      </c>
      <c r="L117" t="n">
        <v>0</v>
      </c>
      <c r="M117" t="n">
        <v>0</v>
      </c>
      <c r="N117" t="n">
        <v>0</v>
      </c>
      <c r="O117" t="n">
        <v>0</v>
      </c>
      <c r="P117" t="n">
        <v>0</v>
      </c>
      <c r="Q117" t="n">
        <v>0</v>
      </c>
      <c r="R117" s="2" t="inlineStr"/>
    </row>
    <row r="118" ht="15" customHeight="1">
      <c r="A118" t="inlineStr">
        <is>
          <t>A 54804-2025</t>
        </is>
      </c>
      <c r="B118" s="1" t="n">
        <v>45966.64116898148</v>
      </c>
      <c r="C118" s="1" t="n">
        <v>45990</v>
      </c>
      <c r="D118" t="inlineStr">
        <is>
          <t>ÖREBRO LÄN</t>
        </is>
      </c>
      <c r="E118" t="inlineStr">
        <is>
          <t>LEKEBERG</t>
        </is>
      </c>
      <c r="G118" t="n">
        <v>2.2</v>
      </c>
      <c r="H118" t="n">
        <v>0</v>
      </c>
      <c r="I118" t="n">
        <v>0</v>
      </c>
      <c r="J118" t="n">
        <v>0</v>
      </c>
      <c r="K118" t="n">
        <v>0</v>
      </c>
      <c r="L118" t="n">
        <v>0</v>
      </c>
      <c r="M118" t="n">
        <v>0</v>
      </c>
      <c r="N118" t="n">
        <v>0</v>
      </c>
      <c r="O118" t="n">
        <v>0</v>
      </c>
      <c r="P118" t="n">
        <v>0</v>
      </c>
      <c r="Q118" t="n">
        <v>0</v>
      </c>
      <c r="R118" s="2" t="inlineStr"/>
    </row>
    <row r="119" ht="15" customHeight="1">
      <c r="A119" t="inlineStr">
        <is>
          <t>A 58935-2023</t>
        </is>
      </c>
      <c r="B119" s="1" t="n">
        <v>45250</v>
      </c>
      <c r="C119" s="1" t="n">
        <v>45990</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55033-2025</t>
        </is>
      </c>
      <c r="B120" s="1" t="n">
        <v>45967</v>
      </c>
      <c r="C120" s="1" t="n">
        <v>45990</v>
      </c>
      <c r="D120" t="inlineStr">
        <is>
          <t>ÖREBRO LÄN</t>
        </is>
      </c>
      <c r="E120" t="inlineStr">
        <is>
          <t>LEKEBERG</t>
        </is>
      </c>
      <c r="G120" t="n">
        <v>0.9</v>
      </c>
      <c r="H120" t="n">
        <v>0</v>
      </c>
      <c r="I120" t="n">
        <v>0</v>
      </c>
      <c r="J120" t="n">
        <v>0</v>
      </c>
      <c r="K120" t="n">
        <v>0</v>
      </c>
      <c r="L120" t="n">
        <v>0</v>
      </c>
      <c r="M120" t="n">
        <v>0</v>
      </c>
      <c r="N120" t="n">
        <v>0</v>
      </c>
      <c r="O120" t="n">
        <v>0</v>
      </c>
      <c r="P120" t="n">
        <v>0</v>
      </c>
      <c r="Q120" t="n">
        <v>0</v>
      </c>
      <c r="R120" s="2" t="inlineStr"/>
    </row>
    <row r="121" ht="15" customHeight="1">
      <c r="A121" t="inlineStr">
        <is>
          <t>A 37898-2025</t>
        </is>
      </c>
      <c r="B121" s="1" t="n">
        <v>45881.55846064815</v>
      </c>
      <c r="C121" s="1" t="n">
        <v>45990</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62841-2023</t>
        </is>
      </c>
      <c r="B122" s="1" t="n">
        <v>45270</v>
      </c>
      <c r="C122" s="1" t="n">
        <v>45990</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38297-2025</t>
        </is>
      </c>
      <c r="B123" s="1" t="n">
        <v>45883.45506944445</v>
      </c>
      <c r="C123" s="1" t="n">
        <v>45990</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58020-2021</t>
        </is>
      </c>
      <c r="B124" s="1" t="n">
        <v>44484</v>
      </c>
      <c r="C124" s="1" t="n">
        <v>45990</v>
      </c>
      <c r="D124" t="inlineStr">
        <is>
          <t>ÖREBRO LÄN</t>
        </is>
      </c>
      <c r="E124" t="inlineStr">
        <is>
          <t>LEKEBERG</t>
        </is>
      </c>
      <c r="G124" t="n">
        <v>2.8</v>
      </c>
      <c r="H124" t="n">
        <v>0</v>
      </c>
      <c r="I124" t="n">
        <v>0</v>
      </c>
      <c r="J124" t="n">
        <v>0</v>
      </c>
      <c r="K124" t="n">
        <v>0</v>
      </c>
      <c r="L124" t="n">
        <v>0</v>
      </c>
      <c r="M124" t="n">
        <v>0</v>
      </c>
      <c r="N124" t="n">
        <v>0</v>
      </c>
      <c r="O124" t="n">
        <v>0</v>
      </c>
      <c r="P124" t="n">
        <v>0</v>
      </c>
      <c r="Q124" t="n">
        <v>0</v>
      </c>
      <c r="R124" s="2" t="inlineStr"/>
    </row>
    <row r="125" ht="15" customHeight="1">
      <c r="A125" t="inlineStr">
        <is>
          <t>A 46809-2025</t>
        </is>
      </c>
      <c r="B125" s="1" t="n">
        <v>45926.69324074074</v>
      </c>
      <c r="C125" s="1" t="n">
        <v>45990</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46810-2025</t>
        </is>
      </c>
      <c r="B126" s="1" t="n">
        <v>45926.69480324074</v>
      </c>
      <c r="C126" s="1" t="n">
        <v>45990</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14169-2025</t>
        </is>
      </c>
      <c r="B127" s="1" t="n">
        <v>45740.51894675926</v>
      </c>
      <c r="C127" s="1" t="n">
        <v>45990</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51659-2021</t>
        </is>
      </c>
      <c r="B128" s="1" t="n">
        <v>44462</v>
      </c>
      <c r="C128" s="1" t="n">
        <v>45990</v>
      </c>
      <c r="D128" t="inlineStr">
        <is>
          <t>ÖREBRO LÄN</t>
        </is>
      </c>
      <c r="E128" t="inlineStr">
        <is>
          <t>LEKEBERG</t>
        </is>
      </c>
      <c r="G128" t="n">
        <v>3.1</v>
      </c>
      <c r="H128" t="n">
        <v>0</v>
      </c>
      <c r="I128" t="n">
        <v>0</v>
      </c>
      <c r="J128" t="n">
        <v>0</v>
      </c>
      <c r="K128" t="n">
        <v>0</v>
      </c>
      <c r="L128" t="n">
        <v>0</v>
      </c>
      <c r="M128" t="n">
        <v>0</v>
      </c>
      <c r="N128" t="n">
        <v>0</v>
      </c>
      <c r="O128" t="n">
        <v>0</v>
      </c>
      <c r="P128" t="n">
        <v>0</v>
      </c>
      <c r="Q128" t="n">
        <v>0</v>
      </c>
      <c r="R128" s="2" t="inlineStr"/>
    </row>
    <row r="129" ht="15" customHeight="1">
      <c r="A129" t="inlineStr">
        <is>
          <t>A 41551-2024</t>
        </is>
      </c>
      <c r="B129" s="1" t="n">
        <v>45560</v>
      </c>
      <c r="C129" s="1" t="n">
        <v>45990</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6843-2024</t>
        </is>
      </c>
      <c r="B130" s="1" t="n">
        <v>45342.62711805556</v>
      </c>
      <c r="C130" s="1" t="n">
        <v>45990</v>
      </c>
      <c r="D130" t="inlineStr">
        <is>
          <t>ÖREBRO LÄN</t>
        </is>
      </c>
      <c r="E130" t="inlineStr">
        <is>
          <t>LEKEBERG</t>
        </is>
      </c>
      <c r="G130" t="n">
        <v>4.4</v>
      </c>
      <c r="H130" t="n">
        <v>0</v>
      </c>
      <c r="I130" t="n">
        <v>0</v>
      </c>
      <c r="J130" t="n">
        <v>0</v>
      </c>
      <c r="K130" t="n">
        <v>0</v>
      </c>
      <c r="L130" t="n">
        <v>0</v>
      </c>
      <c r="M130" t="n">
        <v>0</v>
      </c>
      <c r="N130" t="n">
        <v>0</v>
      </c>
      <c r="O130" t="n">
        <v>0</v>
      </c>
      <c r="P130" t="n">
        <v>0</v>
      </c>
      <c r="Q130" t="n">
        <v>0</v>
      </c>
      <c r="R130" s="2" t="inlineStr"/>
    </row>
    <row r="131" ht="15" customHeight="1">
      <c r="A131" t="inlineStr">
        <is>
          <t>A 6757-2021</t>
        </is>
      </c>
      <c r="B131" s="1" t="n">
        <v>44236</v>
      </c>
      <c r="C131" s="1" t="n">
        <v>45990</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55842-2025</t>
        </is>
      </c>
      <c r="B132" s="1" t="n">
        <v>45973.29060185186</v>
      </c>
      <c r="C132" s="1" t="n">
        <v>45990</v>
      </c>
      <c r="D132" t="inlineStr">
        <is>
          <t>ÖREBRO LÄN</t>
        </is>
      </c>
      <c r="E132" t="inlineStr">
        <is>
          <t>LEKEBERG</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6140-2025</t>
        </is>
      </c>
      <c r="B133" s="1" t="n">
        <v>45698.3849537037</v>
      </c>
      <c r="C133" s="1" t="n">
        <v>45990</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45990</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45990</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45990</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46877-2022</t>
        </is>
      </c>
      <c r="B137" s="1" t="n">
        <v>44848</v>
      </c>
      <c r="C137" s="1" t="n">
        <v>45990</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45990</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45990</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10787-2023</t>
        </is>
      </c>
      <c r="B140" s="1" t="n">
        <v>44989</v>
      </c>
      <c r="C140" s="1" t="n">
        <v>45990</v>
      </c>
      <c r="D140" t="inlineStr">
        <is>
          <t>ÖREBRO LÄN</t>
        </is>
      </c>
      <c r="E140" t="inlineStr">
        <is>
          <t>LEKEBERG</t>
        </is>
      </c>
      <c r="G140" t="n">
        <v>5</v>
      </c>
      <c r="H140" t="n">
        <v>0</v>
      </c>
      <c r="I140" t="n">
        <v>0</v>
      </c>
      <c r="J140" t="n">
        <v>0</v>
      </c>
      <c r="K140" t="n">
        <v>0</v>
      </c>
      <c r="L140" t="n">
        <v>0</v>
      </c>
      <c r="M140" t="n">
        <v>0</v>
      </c>
      <c r="N140" t="n">
        <v>0</v>
      </c>
      <c r="O140" t="n">
        <v>0</v>
      </c>
      <c r="P140" t="n">
        <v>0</v>
      </c>
      <c r="Q140" t="n">
        <v>0</v>
      </c>
      <c r="R140" s="2" t="inlineStr"/>
    </row>
    <row r="141" ht="15" customHeight="1">
      <c r="A141" t="inlineStr">
        <is>
          <t>A 10791-2023</t>
        </is>
      </c>
      <c r="B141" s="1" t="n">
        <v>44989</v>
      </c>
      <c r="C141" s="1" t="n">
        <v>45990</v>
      </c>
      <c r="D141" t="inlineStr">
        <is>
          <t>ÖREBRO LÄN</t>
        </is>
      </c>
      <c r="E141" t="inlineStr">
        <is>
          <t>LEKEBERG</t>
        </is>
      </c>
      <c r="G141" t="n">
        <v>2.4</v>
      </c>
      <c r="H141" t="n">
        <v>0</v>
      </c>
      <c r="I141" t="n">
        <v>0</v>
      </c>
      <c r="J141" t="n">
        <v>0</v>
      </c>
      <c r="K141" t="n">
        <v>0</v>
      </c>
      <c r="L141" t="n">
        <v>0</v>
      </c>
      <c r="M141" t="n">
        <v>0</v>
      </c>
      <c r="N141" t="n">
        <v>0</v>
      </c>
      <c r="O141" t="n">
        <v>0</v>
      </c>
      <c r="P141" t="n">
        <v>0</v>
      </c>
      <c r="Q141" t="n">
        <v>0</v>
      </c>
      <c r="R141" s="2" t="inlineStr"/>
    </row>
    <row r="142" ht="15" customHeight="1">
      <c r="A142" t="inlineStr">
        <is>
          <t>A 10467-2025</t>
        </is>
      </c>
      <c r="B142" s="1" t="n">
        <v>45720.83359953704</v>
      </c>
      <c r="C142" s="1" t="n">
        <v>45990</v>
      </c>
      <c r="D142" t="inlineStr">
        <is>
          <t>ÖREBRO LÄN</t>
        </is>
      </c>
      <c r="E142" t="inlineStr">
        <is>
          <t>LEKEBERG</t>
        </is>
      </c>
      <c r="G142" t="n">
        <v>3.8</v>
      </c>
      <c r="H142" t="n">
        <v>0</v>
      </c>
      <c r="I142" t="n">
        <v>0</v>
      </c>
      <c r="J142" t="n">
        <v>0</v>
      </c>
      <c r="K142" t="n">
        <v>0</v>
      </c>
      <c r="L142" t="n">
        <v>0</v>
      </c>
      <c r="M142" t="n">
        <v>0</v>
      </c>
      <c r="N142" t="n">
        <v>0</v>
      </c>
      <c r="O142" t="n">
        <v>0</v>
      </c>
      <c r="P142" t="n">
        <v>0</v>
      </c>
      <c r="Q142" t="n">
        <v>0</v>
      </c>
      <c r="R142" s="2" t="inlineStr"/>
    </row>
    <row r="143" ht="15" customHeight="1">
      <c r="A143" t="inlineStr">
        <is>
          <t>A 3602-2023</t>
        </is>
      </c>
      <c r="B143" s="1" t="n">
        <v>44950.58821759259</v>
      </c>
      <c r="C143" s="1" t="n">
        <v>45990</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58428-2025</t>
        </is>
      </c>
      <c r="B144" s="1" t="n">
        <v>45985.60064814815</v>
      </c>
      <c r="C144" s="1" t="n">
        <v>45990</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12963-2023</t>
        </is>
      </c>
      <c r="B145" s="1" t="n">
        <v>45001</v>
      </c>
      <c r="C145" s="1" t="n">
        <v>45990</v>
      </c>
      <c r="D145" t="inlineStr">
        <is>
          <t>ÖREBRO LÄN</t>
        </is>
      </c>
      <c r="E145" t="inlineStr">
        <is>
          <t>LEKEBERG</t>
        </is>
      </c>
      <c r="G145" t="n">
        <v>2.4</v>
      </c>
      <c r="H145" t="n">
        <v>0</v>
      </c>
      <c r="I145" t="n">
        <v>0</v>
      </c>
      <c r="J145" t="n">
        <v>0</v>
      </c>
      <c r="K145" t="n">
        <v>0</v>
      </c>
      <c r="L145" t="n">
        <v>0</v>
      </c>
      <c r="M145" t="n">
        <v>0</v>
      </c>
      <c r="N145" t="n">
        <v>0</v>
      </c>
      <c r="O145" t="n">
        <v>0</v>
      </c>
      <c r="P145" t="n">
        <v>0</v>
      </c>
      <c r="Q145" t="n">
        <v>0</v>
      </c>
      <c r="R145" s="2" t="inlineStr"/>
    </row>
    <row r="146" ht="15" customHeight="1">
      <c r="A146" t="inlineStr">
        <is>
          <t>A 14734-2024</t>
        </is>
      </c>
      <c r="B146" s="1" t="n">
        <v>45397.5890625</v>
      </c>
      <c r="C146" s="1" t="n">
        <v>45990</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45990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45990</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14353-2024</t>
        </is>
      </c>
      <c r="B149" s="1" t="n">
        <v>45393.83645833333</v>
      </c>
      <c r="C149" s="1" t="n">
        <v>45990</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5373-2024</t>
        </is>
      </c>
      <c r="B150" s="1" t="n">
        <v>45331</v>
      </c>
      <c r="C150" s="1" t="n">
        <v>45990</v>
      </c>
      <c r="D150" t="inlineStr">
        <is>
          <t>ÖREBRO LÄN</t>
        </is>
      </c>
      <c r="E150" t="inlineStr">
        <is>
          <t>LEKEBERG</t>
        </is>
      </c>
      <c r="G150" t="n">
        <v>5.8</v>
      </c>
      <c r="H150" t="n">
        <v>0</v>
      </c>
      <c r="I150" t="n">
        <v>0</v>
      </c>
      <c r="J150" t="n">
        <v>0</v>
      </c>
      <c r="K150" t="n">
        <v>0</v>
      </c>
      <c r="L150" t="n">
        <v>0</v>
      </c>
      <c r="M150" t="n">
        <v>0</v>
      </c>
      <c r="N150" t="n">
        <v>0</v>
      </c>
      <c r="O150" t="n">
        <v>0</v>
      </c>
      <c r="P150" t="n">
        <v>0</v>
      </c>
      <c r="Q150" t="n">
        <v>0</v>
      </c>
      <c r="R150" s="2" t="inlineStr"/>
    </row>
    <row r="151" ht="15" customHeight="1">
      <c r="A151" t="inlineStr">
        <is>
          <t>A 15597-2025</t>
        </is>
      </c>
      <c r="B151" s="1" t="n">
        <v>45747.9108449074</v>
      </c>
      <c r="C151" s="1" t="n">
        <v>45990</v>
      </c>
      <c r="D151" t="inlineStr">
        <is>
          <t>ÖREBRO LÄN</t>
        </is>
      </c>
      <c r="E151" t="inlineStr">
        <is>
          <t>LEKEBERG</t>
        </is>
      </c>
      <c r="G151" t="n">
        <v>4.2</v>
      </c>
      <c r="H151" t="n">
        <v>0</v>
      </c>
      <c r="I151" t="n">
        <v>0</v>
      </c>
      <c r="J151" t="n">
        <v>0</v>
      </c>
      <c r="K151" t="n">
        <v>0</v>
      </c>
      <c r="L151" t="n">
        <v>0</v>
      </c>
      <c r="M151" t="n">
        <v>0</v>
      </c>
      <c r="N151" t="n">
        <v>0</v>
      </c>
      <c r="O151" t="n">
        <v>0</v>
      </c>
      <c r="P151" t="n">
        <v>0</v>
      </c>
      <c r="Q151" t="n">
        <v>0</v>
      </c>
      <c r="R151" s="2" t="inlineStr"/>
    </row>
    <row r="152" ht="15" customHeight="1">
      <c r="A152" t="inlineStr">
        <is>
          <t>A 59036-2021</t>
        </is>
      </c>
      <c r="B152" s="1" t="n">
        <v>44490</v>
      </c>
      <c r="C152" s="1" t="n">
        <v>45990</v>
      </c>
      <c r="D152" t="inlineStr">
        <is>
          <t>ÖREBRO LÄN</t>
        </is>
      </c>
      <c r="E152" t="inlineStr">
        <is>
          <t>LEKEBERG</t>
        </is>
      </c>
      <c r="F152" t="inlineStr">
        <is>
          <t>Allmännings- och besparingsskogar</t>
        </is>
      </c>
      <c r="G152" t="n">
        <v>25.2</v>
      </c>
      <c r="H152" t="n">
        <v>0</v>
      </c>
      <c r="I152" t="n">
        <v>0</v>
      </c>
      <c r="J152" t="n">
        <v>0</v>
      </c>
      <c r="K152" t="n">
        <v>0</v>
      </c>
      <c r="L152" t="n">
        <v>0</v>
      </c>
      <c r="M152" t="n">
        <v>0</v>
      </c>
      <c r="N152" t="n">
        <v>0</v>
      </c>
      <c r="O152" t="n">
        <v>0</v>
      </c>
      <c r="P152" t="n">
        <v>0</v>
      </c>
      <c r="Q152" t="n">
        <v>0</v>
      </c>
      <c r="R152" s="2" t="inlineStr"/>
    </row>
    <row r="153" ht="15" customHeight="1">
      <c r="A153" t="inlineStr">
        <is>
          <t>A 30747-2023</t>
        </is>
      </c>
      <c r="B153" s="1" t="n">
        <v>45112</v>
      </c>
      <c r="C153" s="1" t="n">
        <v>45990</v>
      </c>
      <c r="D153" t="inlineStr">
        <is>
          <t>ÖREBRO LÄN</t>
        </is>
      </c>
      <c r="E153" t="inlineStr">
        <is>
          <t>LEKEBERG</t>
        </is>
      </c>
      <c r="F153" t="inlineStr">
        <is>
          <t>Allmännings- och besparingsskogar</t>
        </is>
      </c>
      <c r="G153" t="n">
        <v>3.8</v>
      </c>
      <c r="H153" t="n">
        <v>0</v>
      </c>
      <c r="I153" t="n">
        <v>0</v>
      </c>
      <c r="J153" t="n">
        <v>0</v>
      </c>
      <c r="K153" t="n">
        <v>0</v>
      </c>
      <c r="L153" t="n">
        <v>0</v>
      </c>
      <c r="M153" t="n">
        <v>0</v>
      </c>
      <c r="N153" t="n">
        <v>0</v>
      </c>
      <c r="O153" t="n">
        <v>0</v>
      </c>
      <c r="P153" t="n">
        <v>0</v>
      </c>
      <c r="Q153" t="n">
        <v>0</v>
      </c>
      <c r="R153" s="2" t="inlineStr"/>
    </row>
    <row r="154" ht="15" customHeight="1">
      <c r="A154" t="inlineStr">
        <is>
          <t>A 14702-2023</t>
        </is>
      </c>
      <c r="B154" s="1" t="n">
        <v>45014</v>
      </c>
      <c r="C154" s="1" t="n">
        <v>45990</v>
      </c>
      <c r="D154" t="inlineStr">
        <is>
          <t>ÖREBRO LÄN</t>
        </is>
      </c>
      <c r="E154" t="inlineStr">
        <is>
          <t>LEKEBERG</t>
        </is>
      </c>
      <c r="G154" t="n">
        <v>12.1</v>
      </c>
      <c r="H154" t="n">
        <v>0</v>
      </c>
      <c r="I154" t="n">
        <v>0</v>
      </c>
      <c r="J154" t="n">
        <v>0</v>
      </c>
      <c r="K154" t="n">
        <v>0</v>
      </c>
      <c r="L154" t="n">
        <v>0</v>
      </c>
      <c r="M154" t="n">
        <v>0</v>
      </c>
      <c r="N154" t="n">
        <v>0</v>
      </c>
      <c r="O154" t="n">
        <v>0</v>
      </c>
      <c r="P154" t="n">
        <v>0</v>
      </c>
      <c r="Q154" t="n">
        <v>0</v>
      </c>
      <c r="R154" s="2" t="inlineStr"/>
    </row>
    <row r="155" ht="15" customHeight="1">
      <c r="A155" t="inlineStr">
        <is>
          <t>A 61644-2023</t>
        </is>
      </c>
      <c r="B155" s="1" t="n">
        <v>45263</v>
      </c>
      <c r="C155" s="1" t="n">
        <v>45990</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18272-2024</t>
        </is>
      </c>
      <c r="B156" s="1" t="n">
        <v>45421.69873842593</v>
      </c>
      <c r="C156" s="1" t="n">
        <v>45990</v>
      </c>
      <c r="D156" t="inlineStr">
        <is>
          <t>ÖREBRO LÄN</t>
        </is>
      </c>
      <c r="E156" t="inlineStr">
        <is>
          <t>LEKEBERG</t>
        </is>
      </c>
      <c r="G156" t="n">
        <v>0.4</v>
      </c>
      <c r="H156" t="n">
        <v>0</v>
      </c>
      <c r="I156" t="n">
        <v>0</v>
      </c>
      <c r="J156" t="n">
        <v>0</v>
      </c>
      <c r="K156" t="n">
        <v>0</v>
      </c>
      <c r="L156" t="n">
        <v>0</v>
      </c>
      <c r="M156" t="n">
        <v>0</v>
      </c>
      <c r="N156" t="n">
        <v>0</v>
      </c>
      <c r="O156" t="n">
        <v>0</v>
      </c>
      <c r="P156" t="n">
        <v>0</v>
      </c>
      <c r="Q156" t="n">
        <v>0</v>
      </c>
      <c r="R156" s="2" t="inlineStr"/>
    </row>
    <row r="157" ht="15" customHeight="1">
      <c r="A157" t="inlineStr">
        <is>
          <t>A 47906-2023</t>
        </is>
      </c>
      <c r="B157" s="1" t="n">
        <v>45204</v>
      </c>
      <c r="C157" s="1" t="n">
        <v>45990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14176-2025</t>
        </is>
      </c>
      <c r="B158" s="1" t="n">
        <v>45740.52974537037</v>
      </c>
      <c r="C158" s="1" t="n">
        <v>45990</v>
      </c>
      <c r="D158" t="inlineStr">
        <is>
          <t>ÖREBRO LÄN</t>
        </is>
      </c>
      <c r="E158" t="inlineStr">
        <is>
          <t>LEKEBERG</t>
        </is>
      </c>
      <c r="G158" t="n">
        <v>0.5</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45990</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21042-2023</t>
        </is>
      </c>
      <c r="B160" s="1" t="n">
        <v>45056</v>
      </c>
      <c r="C160" s="1" t="n">
        <v>45990</v>
      </c>
      <c r="D160" t="inlineStr">
        <is>
          <t>ÖREBRO LÄN</t>
        </is>
      </c>
      <c r="E160" t="inlineStr">
        <is>
          <t>LEKEBERG</t>
        </is>
      </c>
      <c r="G160" t="n">
        <v>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45990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33262-2023</t>
        </is>
      </c>
      <c r="B162" s="1" t="n">
        <v>45127.56380787037</v>
      </c>
      <c r="C162" s="1" t="n">
        <v>45990</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33259-2023</t>
        </is>
      </c>
      <c r="B163" s="1" t="n">
        <v>45127.56025462963</v>
      </c>
      <c r="C163" s="1" t="n">
        <v>45990</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11383-2023</t>
        </is>
      </c>
      <c r="B164" s="1" t="n">
        <v>44993.45693287037</v>
      </c>
      <c r="C164" s="1" t="n">
        <v>45990</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47902-2023</t>
        </is>
      </c>
      <c r="B165" s="1" t="n">
        <v>45204.49861111111</v>
      </c>
      <c r="C165" s="1" t="n">
        <v>45990</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26702-2023</t>
        </is>
      </c>
      <c r="B166" s="1" t="n">
        <v>45093</v>
      </c>
      <c r="C166" s="1" t="n">
        <v>45990</v>
      </c>
      <c r="D166" t="inlineStr">
        <is>
          <t>ÖREBRO LÄN</t>
        </is>
      </c>
      <c r="E166" t="inlineStr">
        <is>
          <t>LEKEBERG</t>
        </is>
      </c>
      <c r="G166" t="n">
        <v>2.5</v>
      </c>
      <c r="H166" t="n">
        <v>0</v>
      </c>
      <c r="I166" t="n">
        <v>0</v>
      </c>
      <c r="J166" t="n">
        <v>0</v>
      </c>
      <c r="K166" t="n">
        <v>0</v>
      </c>
      <c r="L166" t="n">
        <v>0</v>
      </c>
      <c r="M166" t="n">
        <v>0</v>
      </c>
      <c r="N166" t="n">
        <v>0</v>
      </c>
      <c r="O166" t="n">
        <v>0</v>
      </c>
      <c r="P166" t="n">
        <v>0</v>
      </c>
      <c r="Q166" t="n">
        <v>0</v>
      </c>
      <c r="R166" s="2" t="inlineStr"/>
    </row>
    <row r="167" ht="15" customHeight="1">
      <c r="A167" t="inlineStr">
        <is>
          <t>A 41008-2024</t>
        </is>
      </c>
      <c r="B167" s="1" t="n">
        <v>45559</v>
      </c>
      <c r="C167" s="1" t="n">
        <v>45990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64615-2023</t>
        </is>
      </c>
      <c r="B168" s="1" t="n">
        <v>45281.52231481481</v>
      </c>
      <c r="C168" s="1" t="n">
        <v>45990</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16914-2022</t>
        </is>
      </c>
      <c r="B169" s="1" t="n">
        <v>44676.43390046297</v>
      </c>
      <c r="C169" s="1" t="n">
        <v>45990</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10617-2022</t>
        </is>
      </c>
      <c r="B170" s="1" t="n">
        <v>44624</v>
      </c>
      <c r="C170" s="1" t="n">
        <v>45990</v>
      </c>
      <c r="D170" t="inlineStr">
        <is>
          <t>ÖREBRO LÄN</t>
        </is>
      </c>
      <c r="E170" t="inlineStr">
        <is>
          <t>LEKEBERG</t>
        </is>
      </c>
      <c r="G170" t="n">
        <v>7.9</v>
      </c>
      <c r="H170" t="n">
        <v>0</v>
      </c>
      <c r="I170" t="n">
        <v>0</v>
      </c>
      <c r="J170" t="n">
        <v>0</v>
      </c>
      <c r="K170" t="n">
        <v>0</v>
      </c>
      <c r="L170" t="n">
        <v>0</v>
      </c>
      <c r="M170" t="n">
        <v>0</v>
      </c>
      <c r="N170" t="n">
        <v>0</v>
      </c>
      <c r="O170" t="n">
        <v>0</v>
      </c>
      <c r="P170" t="n">
        <v>0</v>
      </c>
      <c r="Q170" t="n">
        <v>0</v>
      </c>
      <c r="R170" s="2" t="inlineStr"/>
    </row>
    <row r="171" ht="15" customHeight="1">
      <c r="A171" t="inlineStr">
        <is>
          <t>A 40240-2024</t>
        </is>
      </c>
      <c r="B171" s="1" t="n">
        <v>45554.61458333334</v>
      </c>
      <c r="C171" s="1" t="n">
        <v>45990</v>
      </c>
      <c r="D171" t="inlineStr">
        <is>
          <t>ÖREBRO LÄN</t>
        </is>
      </c>
      <c r="E171" t="inlineStr">
        <is>
          <t>LEKEBERG</t>
        </is>
      </c>
      <c r="G171" t="n">
        <v>3.6</v>
      </c>
      <c r="H171" t="n">
        <v>0</v>
      </c>
      <c r="I171" t="n">
        <v>0</v>
      </c>
      <c r="J171" t="n">
        <v>0</v>
      </c>
      <c r="K171" t="n">
        <v>0</v>
      </c>
      <c r="L171" t="n">
        <v>0</v>
      </c>
      <c r="M171" t="n">
        <v>0</v>
      </c>
      <c r="N171" t="n">
        <v>0</v>
      </c>
      <c r="O171" t="n">
        <v>0</v>
      </c>
      <c r="P171" t="n">
        <v>0</v>
      </c>
      <c r="Q171" t="n">
        <v>0</v>
      </c>
      <c r="R171" s="2" t="inlineStr"/>
    </row>
    <row r="172" ht="15" customHeight="1">
      <c r="A172" t="inlineStr">
        <is>
          <t>A 33907-2024</t>
        </is>
      </c>
      <c r="B172" s="1" t="n">
        <v>45523.37623842592</v>
      </c>
      <c r="C172" s="1" t="n">
        <v>45990</v>
      </c>
      <c r="D172" t="inlineStr">
        <is>
          <t>ÖREBRO LÄN</t>
        </is>
      </c>
      <c r="E172" t="inlineStr">
        <is>
          <t>LEKEBERG</t>
        </is>
      </c>
      <c r="G172" t="n">
        <v>3.3</v>
      </c>
      <c r="H172" t="n">
        <v>0</v>
      </c>
      <c r="I172" t="n">
        <v>0</v>
      </c>
      <c r="J172" t="n">
        <v>0</v>
      </c>
      <c r="K172" t="n">
        <v>0</v>
      </c>
      <c r="L172" t="n">
        <v>0</v>
      </c>
      <c r="M172" t="n">
        <v>0</v>
      </c>
      <c r="N172" t="n">
        <v>0</v>
      </c>
      <c r="O172" t="n">
        <v>0</v>
      </c>
      <c r="P172" t="n">
        <v>0</v>
      </c>
      <c r="Q172" t="n">
        <v>0</v>
      </c>
      <c r="R172" s="2" t="inlineStr"/>
    </row>
    <row r="173" ht="15" customHeight="1">
      <c r="A173" t="inlineStr">
        <is>
          <t>A 33910-2024</t>
        </is>
      </c>
      <c r="B173" s="1" t="n">
        <v>45523.38473379629</v>
      </c>
      <c r="C173" s="1" t="n">
        <v>45990</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36516-2023</t>
        </is>
      </c>
      <c r="B174" s="1" t="n">
        <v>45153</v>
      </c>
      <c r="C174" s="1" t="n">
        <v>45990</v>
      </c>
      <c r="D174" t="inlineStr">
        <is>
          <t>ÖREBRO LÄN</t>
        </is>
      </c>
      <c r="E174" t="inlineStr">
        <is>
          <t>LEKEBERG</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2038-2025</t>
        </is>
      </c>
      <c r="B175" s="1" t="n">
        <v>45672.49553240741</v>
      </c>
      <c r="C175" s="1" t="n">
        <v>45990</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1157-2025</t>
        </is>
      </c>
      <c r="B176" s="1" t="n">
        <v>45666.75922453704</v>
      </c>
      <c r="C176" s="1" t="n">
        <v>45990</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31113-2023</t>
        </is>
      </c>
      <c r="B177" s="1" t="n">
        <v>45113</v>
      </c>
      <c r="C177" s="1" t="n">
        <v>45990</v>
      </c>
      <c r="D177" t="inlineStr">
        <is>
          <t>ÖREBRO LÄN</t>
        </is>
      </c>
      <c r="E177" t="inlineStr">
        <is>
          <t>LEKEBERG</t>
        </is>
      </c>
      <c r="G177" t="n">
        <v>1.8</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45990</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45990</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22137-2022</t>
        </is>
      </c>
      <c r="B180" s="1" t="n">
        <v>44712</v>
      </c>
      <c r="C180" s="1" t="n">
        <v>45990</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41233-2024</t>
        </is>
      </c>
      <c r="B181" s="1" t="n">
        <v>45559</v>
      </c>
      <c r="C181" s="1" t="n">
        <v>45990</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54227-2024</t>
        </is>
      </c>
      <c r="B182" s="1" t="n">
        <v>45616</v>
      </c>
      <c r="C182" s="1" t="n">
        <v>45990</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39872-2024</t>
        </is>
      </c>
      <c r="B183" s="1" t="n">
        <v>45553</v>
      </c>
      <c r="C183" s="1" t="n">
        <v>45990</v>
      </c>
      <c r="D183" t="inlineStr">
        <is>
          <t>ÖREBRO LÄN</t>
        </is>
      </c>
      <c r="E183" t="inlineStr">
        <is>
          <t>LEKEBERG</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18645-2023</t>
        </is>
      </c>
      <c r="B184" s="1" t="n">
        <v>45043</v>
      </c>
      <c r="C184" s="1" t="n">
        <v>45990</v>
      </c>
      <c r="D184" t="inlineStr">
        <is>
          <t>ÖREBRO LÄN</t>
        </is>
      </c>
      <c r="E184" t="inlineStr">
        <is>
          <t>LEKEBERG</t>
        </is>
      </c>
      <c r="G184" t="n">
        <v>1.8</v>
      </c>
      <c r="H184" t="n">
        <v>0</v>
      </c>
      <c r="I184" t="n">
        <v>0</v>
      </c>
      <c r="J184" t="n">
        <v>0</v>
      </c>
      <c r="K184" t="n">
        <v>0</v>
      </c>
      <c r="L184" t="n">
        <v>0</v>
      </c>
      <c r="M184" t="n">
        <v>0</v>
      </c>
      <c r="N184" t="n">
        <v>0</v>
      </c>
      <c r="O184" t="n">
        <v>0</v>
      </c>
      <c r="P184" t="n">
        <v>0</v>
      </c>
      <c r="Q184" t="n">
        <v>0</v>
      </c>
      <c r="R184" s="2" t="inlineStr"/>
    </row>
    <row r="185" ht="15" customHeight="1">
      <c r="A185" t="inlineStr">
        <is>
          <t>A 29444-2024</t>
        </is>
      </c>
      <c r="B185" s="1" t="n">
        <v>45483.86464120371</v>
      </c>
      <c r="C185" s="1" t="n">
        <v>45990</v>
      </c>
      <c r="D185" t="inlineStr">
        <is>
          <t>ÖREBRO LÄN</t>
        </is>
      </c>
      <c r="E185" t="inlineStr">
        <is>
          <t>LEKEBERG</t>
        </is>
      </c>
      <c r="G185" t="n">
        <v>4</v>
      </c>
      <c r="H185" t="n">
        <v>0</v>
      </c>
      <c r="I185" t="n">
        <v>0</v>
      </c>
      <c r="J185" t="n">
        <v>0</v>
      </c>
      <c r="K185" t="n">
        <v>0</v>
      </c>
      <c r="L185" t="n">
        <v>0</v>
      </c>
      <c r="M185" t="n">
        <v>0</v>
      </c>
      <c r="N185" t="n">
        <v>0</v>
      </c>
      <c r="O185" t="n">
        <v>0</v>
      </c>
      <c r="P185" t="n">
        <v>0</v>
      </c>
      <c r="Q185" t="n">
        <v>0</v>
      </c>
      <c r="R185" s="2" t="inlineStr"/>
    </row>
    <row r="186" ht="15" customHeight="1">
      <c r="A186" t="inlineStr">
        <is>
          <t>A 10746-2023</t>
        </is>
      </c>
      <c r="B186" s="1" t="n">
        <v>44988</v>
      </c>
      <c r="C186" s="1" t="n">
        <v>45990</v>
      </c>
      <c r="D186" t="inlineStr">
        <is>
          <t>ÖREBRO LÄN</t>
        </is>
      </c>
      <c r="E186" t="inlineStr">
        <is>
          <t>LEKEBERG</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39873-2024</t>
        </is>
      </c>
      <c r="B187" s="1" t="n">
        <v>45553</v>
      </c>
      <c r="C187" s="1" t="n">
        <v>45990</v>
      </c>
      <c r="D187" t="inlineStr">
        <is>
          <t>ÖREBRO LÄN</t>
        </is>
      </c>
      <c r="E187" t="inlineStr">
        <is>
          <t>LEKEBERG</t>
        </is>
      </c>
      <c r="F187" t="inlineStr">
        <is>
          <t>Sveaskog</t>
        </is>
      </c>
      <c r="G187" t="n">
        <v>3.2</v>
      </c>
      <c r="H187" t="n">
        <v>0</v>
      </c>
      <c r="I187" t="n">
        <v>0</v>
      </c>
      <c r="J187" t="n">
        <v>0</v>
      </c>
      <c r="K187" t="n">
        <v>0</v>
      </c>
      <c r="L187" t="n">
        <v>0</v>
      </c>
      <c r="M187" t="n">
        <v>0</v>
      </c>
      <c r="N187" t="n">
        <v>0</v>
      </c>
      <c r="O187" t="n">
        <v>0</v>
      </c>
      <c r="P187" t="n">
        <v>0</v>
      </c>
      <c r="Q187" t="n">
        <v>0</v>
      </c>
      <c r="R187" s="2" t="inlineStr"/>
      <c r="U187">
        <f>HYPERLINK("https://klasma.github.io/Logging_1814/knärot/A 39873-2024 karta knärot.png", "A 39873-2024")</f>
        <v/>
      </c>
      <c r="V187">
        <f>HYPERLINK("https://klasma.github.io/Logging_1814/klagomål/A 39873-2024 FSC-klagomål.docx", "A 39873-2024")</f>
        <v/>
      </c>
      <c r="W187">
        <f>HYPERLINK("https://klasma.github.io/Logging_1814/klagomålsmail/A 39873-2024 FSC-klagomål mail.docx", "A 39873-2024")</f>
        <v/>
      </c>
      <c r="X187">
        <f>HYPERLINK("https://klasma.github.io/Logging_1814/tillsyn/A 39873-2024 tillsynsbegäran.docx", "A 39873-2024")</f>
        <v/>
      </c>
      <c r="Y187">
        <f>HYPERLINK("https://klasma.github.io/Logging_1814/tillsynsmail/A 39873-2024 tillsynsbegäran mail.docx", "A 39873-2024")</f>
        <v/>
      </c>
    </row>
    <row r="188" ht="15" customHeight="1">
      <c r="A188" t="inlineStr">
        <is>
          <t>A 4468-2022</t>
        </is>
      </c>
      <c r="B188" s="1" t="n">
        <v>44589</v>
      </c>
      <c r="C188" s="1" t="n">
        <v>45990</v>
      </c>
      <c r="D188" t="inlineStr">
        <is>
          <t>ÖREBRO LÄN</t>
        </is>
      </c>
      <c r="E188" t="inlineStr">
        <is>
          <t>LEKEBERG</t>
        </is>
      </c>
      <c r="G188" t="n">
        <v>4.8</v>
      </c>
      <c r="H188" t="n">
        <v>0</v>
      </c>
      <c r="I188" t="n">
        <v>0</v>
      </c>
      <c r="J188" t="n">
        <v>0</v>
      </c>
      <c r="K188" t="n">
        <v>0</v>
      </c>
      <c r="L188" t="n">
        <v>0</v>
      </c>
      <c r="M188" t="n">
        <v>0</v>
      </c>
      <c r="N188" t="n">
        <v>0</v>
      </c>
      <c r="O188" t="n">
        <v>0</v>
      </c>
      <c r="P188" t="n">
        <v>0</v>
      </c>
      <c r="Q188" t="n">
        <v>0</v>
      </c>
      <c r="R188" s="2" t="inlineStr"/>
    </row>
    <row r="189" ht="15" customHeight="1">
      <c r="A189" t="inlineStr">
        <is>
          <t>A 36444-2022</t>
        </is>
      </c>
      <c r="B189" s="1" t="n">
        <v>44804.38798611111</v>
      </c>
      <c r="C189" s="1" t="n">
        <v>45990</v>
      </c>
      <c r="D189" t="inlineStr">
        <is>
          <t>ÖREBRO LÄN</t>
        </is>
      </c>
      <c r="E189" t="inlineStr">
        <is>
          <t>LEKEBERG</t>
        </is>
      </c>
      <c r="G189" t="n">
        <v>2.7</v>
      </c>
      <c r="H189" t="n">
        <v>0</v>
      </c>
      <c r="I189" t="n">
        <v>0</v>
      </c>
      <c r="J189" t="n">
        <v>0</v>
      </c>
      <c r="K189" t="n">
        <v>0</v>
      </c>
      <c r="L189" t="n">
        <v>0</v>
      </c>
      <c r="M189" t="n">
        <v>0</v>
      </c>
      <c r="N189" t="n">
        <v>0</v>
      </c>
      <c r="O189" t="n">
        <v>0</v>
      </c>
      <c r="P189" t="n">
        <v>0</v>
      </c>
      <c r="Q189" t="n">
        <v>0</v>
      </c>
      <c r="R189" s="2" t="inlineStr"/>
    </row>
    <row r="190" ht="15" customHeight="1">
      <c r="A190" t="inlineStr">
        <is>
          <t>A 22198-2023</t>
        </is>
      </c>
      <c r="B190" s="1" t="n">
        <v>45069.78799768518</v>
      </c>
      <c r="C190" s="1" t="n">
        <v>45990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38955-2023</t>
        </is>
      </c>
      <c r="B191" s="1" t="n">
        <v>45163</v>
      </c>
      <c r="C191" s="1" t="n">
        <v>45990</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18400-2025</t>
        </is>
      </c>
      <c r="B192" s="1" t="n">
        <v>45762.59549768519</v>
      </c>
      <c r="C192" s="1" t="n">
        <v>45990</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11287-2025</t>
        </is>
      </c>
      <c r="B193" s="1" t="n">
        <v>45726.42666666667</v>
      </c>
      <c r="C193" s="1" t="n">
        <v>45990</v>
      </c>
      <c r="D193" t="inlineStr">
        <is>
          <t>ÖREBRO LÄN</t>
        </is>
      </c>
      <c r="E193" t="inlineStr">
        <is>
          <t>LEKEBERG</t>
        </is>
      </c>
      <c r="F193" t="inlineStr">
        <is>
          <t>Sveaskog</t>
        </is>
      </c>
      <c r="G193" t="n">
        <v>5.4</v>
      </c>
      <c r="H193" t="n">
        <v>0</v>
      </c>
      <c r="I193" t="n">
        <v>0</v>
      </c>
      <c r="J193" t="n">
        <v>0</v>
      </c>
      <c r="K193" t="n">
        <v>0</v>
      </c>
      <c r="L193" t="n">
        <v>0</v>
      </c>
      <c r="M193" t="n">
        <v>0</v>
      </c>
      <c r="N193" t="n">
        <v>0</v>
      </c>
      <c r="O193" t="n">
        <v>0</v>
      </c>
      <c r="P193" t="n">
        <v>0</v>
      </c>
      <c r="Q193" t="n">
        <v>0</v>
      </c>
      <c r="R193" s="2" t="inlineStr"/>
    </row>
    <row r="194" ht="15" customHeight="1">
      <c r="A194" t="inlineStr">
        <is>
          <t>A 20344-2023</t>
        </is>
      </c>
      <c r="B194" s="1" t="n">
        <v>45056</v>
      </c>
      <c r="C194" s="1" t="n">
        <v>45990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45990</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45990</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61314-2024</t>
        </is>
      </c>
      <c r="B197" s="1" t="n">
        <v>45646.31635416667</v>
      </c>
      <c r="C197" s="1" t="n">
        <v>45990</v>
      </c>
      <c r="D197" t="inlineStr">
        <is>
          <t>ÖREBRO LÄN</t>
        </is>
      </c>
      <c r="E197" t="inlineStr">
        <is>
          <t>LEKEBERG</t>
        </is>
      </c>
      <c r="G197" t="n">
        <v>1.9</v>
      </c>
      <c r="H197" t="n">
        <v>0</v>
      </c>
      <c r="I197" t="n">
        <v>0</v>
      </c>
      <c r="J197" t="n">
        <v>0</v>
      </c>
      <c r="K197" t="n">
        <v>0</v>
      </c>
      <c r="L197" t="n">
        <v>0</v>
      </c>
      <c r="M197" t="n">
        <v>0</v>
      </c>
      <c r="N197" t="n">
        <v>0</v>
      </c>
      <c r="O197" t="n">
        <v>0</v>
      </c>
      <c r="P197" t="n">
        <v>0</v>
      </c>
      <c r="Q197" t="n">
        <v>0</v>
      </c>
      <c r="R197" s="2" t="inlineStr"/>
    </row>
    <row r="198" ht="15" customHeight="1">
      <c r="A198" t="inlineStr">
        <is>
          <t>A 5559-2024</t>
        </is>
      </c>
      <c r="B198" s="1" t="n">
        <v>45334</v>
      </c>
      <c r="C198" s="1" t="n">
        <v>45990</v>
      </c>
      <c r="D198" t="inlineStr">
        <is>
          <t>ÖREBRO LÄN</t>
        </is>
      </c>
      <c r="E198" t="inlineStr">
        <is>
          <t>LEKEBERG</t>
        </is>
      </c>
      <c r="G198" t="n">
        <v>2.9</v>
      </c>
      <c r="H198" t="n">
        <v>0</v>
      </c>
      <c r="I198" t="n">
        <v>0</v>
      </c>
      <c r="J198" t="n">
        <v>0</v>
      </c>
      <c r="K198" t="n">
        <v>0</v>
      </c>
      <c r="L198" t="n">
        <v>0</v>
      </c>
      <c r="M198" t="n">
        <v>0</v>
      </c>
      <c r="N198" t="n">
        <v>0</v>
      </c>
      <c r="O198" t="n">
        <v>0</v>
      </c>
      <c r="P198" t="n">
        <v>0</v>
      </c>
      <c r="Q198" t="n">
        <v>0</v>
      </c>
      <c r="R198" s="2" t="inlineStr"/>
    </row>
    <row r="199" ht="15" customHeight="1">
      <c r="A199" t="inlineStr">
        <is>
          <t>A 48268-2021</t>
        </is>
      </c>
      <c r="B199" s="1" t="n">
        <v>44449.66981481481</v>
      </c>
      <c r="C199" s="1" t="n">
        <v>45990</v>
      </c>
      <c r="D199" t="inlineStr">
        <is>
          <t>ÖREBRO LÄN</t>
        </is>
      </c>
      <c r="E199" t="inlineStr">
        <is>
          <t>LEKEBERG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3643-2023</t>
        </is>
      </c>
      <c r="B200" s="1" t="n">
        <v>44950.69260416667</v>
      </c>
      <c r="C200" s="1" t="n">
        <v>45990</v>
      </c>
      <c r="D200" t="inlineStr">
        <is>
          <t>ÖREBRO LÄN</t>
        </is>
      </c>
      <c r="E200" t="inlineStr">
        <is>
          <t>LEKEBERG</t>
        </is>
      </c>
      <c r="G200" t="n">
        <v>1.5</v>
      </c>
      <c r="H200" t="n">
        <v>0</v>
      </c>
      <c r="I200" t="n">
        <v>0</v>
      </c>
      <c r="J200" t="n">
        <v>0</v>
      </c>
      <c r="K200" t="n">
        <v>0</v>
      </c>
      <c r="L200" t="n">
        <v>0</v>
      </c>
      <c r="M200" t="n">
        <v>0</v>
      </c>
      <c r="N200" t="n">
        <v>0</v>
      </c>
      <c r="O200" t="n">
        <v>0</v>
      </c>
      <c r="P200" t="n">
        <v>0</v>
      </c>
      <c r="Q200" t="n">
        <v>0</v>
      </c>
      <c r="R200" s="2" t="inlineStr"/>
    </row>
    <row r="201" ht="15" customHeight="1">
      <c r="A201" t="inlineStr">
        <is>
          <t>A 28824-2024</t>
        </is>
      </c>
      <c r="B201" s="1" t="n">
        <v>45478</v>
      </c>
      <c r="C201" s="1" t="n">
        <v>45990</v>
      </c>
      <c r="D201" t="inlineStr">
        <is>
          <t>ÖREBRO LÄN</t>
        </is>
      </c>
      <c r="E201" t="inlineStr">
        <is>
          <t>LEKEBERG</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45990</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4470-2022</t>
        </is>
      </c>
      <c r="B203" s="1" t="n">
        <v>44589</v>
      </c>
      <c r="C203" s="1" t="n">
        <v>45990</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28579-2022</t>
        </is>
      </c>
      <c r="B204" s="1" t="n">
        <v>44748</v>
      </c>
      <c r="C204" s="1" t="n">
        <v>45990</v>
      </c>
      <c r="D204" t="inlineStr">
        <is>
          <t>ÖREBRO LÄN</t>
        </is>
      </c>
      <c r="E204" t="inlineStr">
        <is>
          <t>LEKEBERG</t>
        </is>
      </c>
      <c r="G204" t="n">
        <v>3.4</v>
      </c>
      <c r="H204" t="n">
        <v>0</v>
      </c>
      <c r="I204" t="n">
        <v>0</v>
      </c>
      <c r="J204" t="n">
        <v>0</v>
      </c>
      <c r="K204" t="n">
        <v>0</v>
      </c>
      <c r="L204" t="n">
        <v>0</v>
      </c>
      <c r="M204" t="n">
        <v>0</v>
      </c>
      <c r="N204" t="n">
        <v>0</v>
      </c>
      <c r="O204" t="n">
        <v>0</v>
      </c>
      <c r="P204" t="n">
        <v>0</v>
      </c>
      <c r="Q204" t="n">
        <v>0</v>
      </c>
      <c r="R204" s="2" t="inlineStr"/>
    </row>
    <row r="205" ht="15" customHeight="1">
      <c r="A205" t="inlineStr">
        <is>
          <t>A 30802-2023</t>
        </is>
      </c>
      <c r="B205" s="1" t="n">
        <v>45112</v>
      </c>
      <c r="C205" s="1" t="n">
        <v>45990</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45990</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45990</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30603-2021</t>
        </is>
      </c>
      <c r="B208" s="1" t="n">
        <v>44365.28403935185</v>
      </c>
      <c r="C208" s="1" t="n">
        <v>45990</v>
      </c>
      <c r="D208" t="inlineStr">
        <is>
          <t>ÖREBRO LÄN</t>
        </is>
      </c>
      <c r="E208" t="inlineStr">
        <is>
          <t>LEKEBERG</t>
        </is>
      </c>
      <c r="G208" t="n">
        <v>0.8</v>
      </c>
      <c r="H208" t="n">
        <v>0</v>
      </c>
      <c r="I208" t="n">
        <v>0</v>
      </c>
      <c r="J208" t="n">
        <v>0</v>
      </c>
      <c r="K208" t="n">
        <v>0</v>
      </c>
      <c r="L208" t="n">
        <v>0</v>
      </c>
      <c r="M208" t="n">
        <v>0</v>
      </c>
      <c r="N208" t="n">
        <v>0</v>
      </c>
      <c r="O208" t="n">
        <v>0</v>
      </c>
      <c r="P208" t="n">
        <v>0</v>
      </c>
      <c r="Q208" t="n">
        <v>0</v>
      </c>
      <c r="R208" s="2" t="inlineStr"/>
    </row>
    <row r="209" ht="15" customHeight="1">
      <c r="A209" t="inlineStr">
        <is>
          <t>A 1515-2024</t>
        </is>
      </c>
      <c r="B209" s="1" t="n">
        <v>45305</v>
      </c>
      <c r="C209" s="1" t="n">
        <v>45990</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61470-2024</t>
        </is>
      </c>
      <c r="B210" s="1" t="n">
        <v>45646</v>
      </c>
      <c r="C210" s="1" t="n">
        <v>45990</v>
      </c>
      <c r="D210" t="inlineStr">
        <is>
          <t>ÖREBRO LÄN</t>
        </is>
      </c>
      <c r="E210" t="inlineStr">
        <is>
          <t>LEKEBERG</t>
        </is>
      </c>
      <c r="G210" t="n">
        <v>5</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45990</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62160-2024</t>
        </is>
      </c>
      <c r="B212" s="1" t="n">
        <v>45656.80090277778</v>
      </c>
      <c r="C212" s="1" t="n">
        <v>45990</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50104-2024</t>
        </is>
      </c>
      <c r="B213" s="1" t="n">
        <v>45600.40037037037</v>
      </c>
      <c r="C213" s="1" t="n">
        <v>45990</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33334-2023</t>
        </is>
      </c>
      <c r="B214" s="1" t="n">
        <v>45128.33488425926</v>
      </c>
      <c r="C214" s="1" t="n">
        <v>45990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55727-2024</t>
        </is>
      </c>
      <c r="B215" s="1" t="n">
        <v>45622.90070601852</v>
      </c>
      <c r="C215" s="1" t="n">
        <v>45990</v>
      </c>
      <c r="D215" t="inlineStr">
        <is>
          <t>ÖREBRO LÄN</t>
        </is>
      </c>
      <c r="E215" t="inlineStr">
        <is>
          <t>LEKEBERG</t>
        </is>
      </c>
      <c r="G215" t="n">
        <v>2.6</v>
      </c>
      <c r="H215" t="n">
        <v>0</v>
      </c>
      <c r="I215" t="n">
        <v>0</v>
      </c>
      <c r="J215" t="n">
        <v>0</v>
      </c>
      <c r="K215" t="n">
        <v>0</v>
      </c>
      <c r="L215" t="n">
        <v>0</v>
      </c>
      <c r="M215" t="n">
        <v>0</v>
      </c>
      <c r="N215" t="n">
        <v>0</v>
      </c>
      <c r="O215" t="n">
        <v>0</v>
      </c>
      <c r="P215" t="n">
        <v>0</v>
      </c>
      <c r="Q215" t="n">
        <v>0</v>
      </c>
      <c r="R215" s="2" t="inlineStr"/>
    </row>
    <row r="216">
      <c r="A216" t="inlineStr">
        <is>
          <t>A 10274-2023</t>
        </is>
      </c>
      <c r="B216" s="1" t="n">
        <v>44986</v>
      </c>
      <c r="C216" s="1" t="n">
        <v>45990</v>
      </c>
      <c r="D216" t="inlineStr">
        <is>
          <t>ÖREBRO LÄN</t>
        </is>
      </c>
      <c r="E216" t="inlineStr">
        <is>
          <t>LEKEBERG</t>
        </is>
      </c>
      <c r="G216" t="n">
        <v>2.9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2025-11-29T10:24:41Z</dcterms:created>
  <dcterms:modified xmlns:dcterms="http://purl.org/dc/terms/" xmlns:xsi="http://www.w3.org/2001/XMLSchema-instance" xsi:type="dcterms:W3CDTF">2025-11-29T10:24:41Z</dcterms:modified>
</cp:coreProperties>
</file>