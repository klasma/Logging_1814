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45812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45812</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45812</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45812</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45812</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45812</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45812</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45812</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45812</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45812</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45812</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45812</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45812</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45812</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45812</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45812</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45812</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45812</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45812</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45812</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45812</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45812</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45812</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45812</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45812</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45812</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45812</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18433-2019</t>
        </is>
      </c>
      <c r="B29" s="1" t="n">
        <v>43557</v>
      </c>
      <c r="C29" s="1" t="n">
        <v>45812</v>
      </c>
      <c r="D29" t="inlineStr">
        <is>
          <t>ÖREBRO LÄN</t>
        </is>
      </c>
      <c r="E29" t="inlineStr">
        <is>
          <t>LEKEBERG</t>
        </is>
      </c>
      <c r="G29" t="n">
        <v>2.9</v>
      </c>
      <c r="H29" t="n">
        <v>0</v>
      </c>
      <c r="I29" t="n">
        <v>0</v>
      </c>
      <c r="J29" t="n">
        <v>0</v>
      </c>
      <c r="K29" t="n">
        <v>0</v>
      </c>
      <c r="L29" t="n">
        <v>0</v>
      </c>
      <c r="M29" t="n">
        <v>0</v>
      </c>
      <c r="N29" t="n">
        <v>0</v>
      </c>
      <c r="O29" t="n">
        <v>0</v>
      </c>
      <c r="P29" t="n">
        <v>0</v>
      </c>
      <c r="Q29" t="n">
        <v>0</v>
      </c>
      <c r="R29" s="2" t="inlineStr"/>
    </row>
    <row r="30" ht="15" customHeight="1">
      <c r="A30" t="inlineStr">
        <is>
          <t>A 18437-2019</t>
        </is>
      </c>
      <c r="B30" s="1" t="n">
        <v>43557</v>
      </c>
      <c r="C30" s="1" t="n">
        <v>45812</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19627-2019</t>
        </is>
      </c>
      <c r="B31" s="1" t="n">
        <v>43566</v>
      </c>
      <c r="C31" s="1" t="n">
        <v>45812</v>
      </c>
      <c r="D31" t="inlineStr">
        <is>
          <t>ÖREBRO LÄN</t>
        </is>
      </c>
      <c r="E31" t="inlineStr">
        <is>
          <t>LEKEBERG</t>
        </is>
      </c>
      <c r="G31" t="n">
        <v>2.7</v>
      </c>
      <c r="H31" t="n">
        <v>0</v>
      </c>
      <c r="I31" t="n">
        <v>0</v>
      </c>
      <c r="J31" t="n">
        <v>0</v>
      </c>
      <c r="K31" t="n">
        <v>0</v>
      </c>
      <c r="L31" t="n">
        <v>0</v>
      </c>
      <c r="M31" t="n">
        <v>0</v>
      </c>
      <c r="N31" t="n">
        <v>0</v>
      </c>
      <c r="O31" t="n">
        <v>0</v>
      </c>
      <c r="P31" t="n">
        <v>0</v>
      </c>
      <c r="Q31" t="n">
        <v>0</v>
      </c>
      <c r="R31" s="2" t="inlineStr"/>
    </row>
    <row r="32" ht="15" customHeight="1">
      <c r="A32" t="inlineStr">
        <is>
          <t>A 19631-2019</t>
        </is>
      </c>
      <c r="B32" s="1" t="n">
        <v>43566</v>
      </c>
      <c r="C32" s="1" t="n">
        <v>45812</v>
      </c>
      <c r="D32" t="inlineStr">
        <is>
          <t>ÖREBRO LÄN</t>
        </is>
      </c>
      <c r="E32" t="inlineStr">
        <is>
          <t>LEKEBERG</t>
        </is>
      </c>
      <c r="G32" t="n">
        <v>1</v>
      </c>
      <c r="H32" t="n">
        <v>0</v>
      </c>
      <c r="I32" t="n">
        <v>0</v>
      </c>
      <c r="J32" t="n">
        <v>0</v>
      </c>
      <c r="K32" t="n">
        <v>0</v>
      </c>
      <c r="L32" t="n">
        <v>0</v>
      </c>
      <c r="M32" t="n">
        <v>0</v>
      </c>
      <c r="N32" t="n">
        <v>0</v>
      </c>
      <c r="O32" t="n">
        <v>0</v>
      </c>
      <c r="P32" t="n">
        <v>0</v>
      </c>
      <c r="Q32" t="n">
        <v>0</v>
      </c>
      <c r="R32" s="2" t="inlineStr"/>
    </row>
    <row r="33" ht="15" customHeight="1">
      <c r="A33" t="inlineStr">
        <is>
          <t>A 20511-2019</t>
        </is>
      </c>
      <c r="B33" s="1" t="n">
        <v>43572</v>
      </c>
      <c r="C33" s="1" t="n">
        <v>45812</v>
      </c>
      <c r="D33" t="inlineStr">
        <is>
          <t>ÖREBRO LÄN</t>
        </is>
      </c>
      <c r="E33" t="inlineStr">
        <is>
          <t>LEKEBERG</t>
        </is>
      </c>
      <c r="F33" t="inlineStr">
        <is>
          <t>Sveaskog</t>
        </is>
      </c>
      <c r="G33" t="n">
        <v>1.4</v>
      </c>
      <c r="H33" t="n">
        <v>0</v>
      </c>
      <c r="I33" t="n">
        <v>0</v>
      </c>
      <c r="J33" t="n">
        <v>0</v>
      </c>
      <c r="K33" t="n">
        <v>0</v>
      </c>
      <c r="L33" t="n">
        <v>0</v>
      </c>
      <c r="M33" t="n">
        <v>0</v>
      </c>
      <c r="N33" t="n">
        <v>0</v>
      </c>
      <c r="O33" t="n">
        <v>0</v>
      </c>
      <c r="P33" t="n">
        <v>0</v>
      </c>
      <c r="Q33" t="n">
        <v>0</v>
      </c>
      <c r="R33" s="2" t="inlineStr"/>
    </row>
    <row r="34" ht="15" customHeight="1">
      <c r="A34" t="inlineStr">
        <is>
          <t>A 21263-2019</t>
        </is>
      </c>
      <c r="B34" s="1" t="n">
        <v>43579</v>
      </c>
      <c r="C34" s="1" t="n">
        <v>45812</v>
      </c>
      <c r="D34" t="inlineStr">
        <is>
          <t>ÖREBRO LÄN</t>
        </is>
      </c>
      <c r="E34" t="inlineStr">
        <is>
          <t>LEKEBERG</t>
        </is>
      </c>
      <c r="G34" t="n">
        <v>1.6</v>
      </c>
      <c r="H34" t="n">
        <v>0</v>
      </c>
      <c r="I34" t="n">
        <v>0</v>
      </c>
      <c r="J34" t="n">
        <v>0</v>
      </c>
      <c r="K34" t="n">
        <v>0</v>
      </c>
      <c r="L34" t="n">
        <v>0</v>
      </c>
      <c r="M34" t="n">
        <v>0</v>
      </c>
      <c r="N34" t="n">
        <v>0</v>
      </c>
      <c r="O34" t="n">
        <v>0</v>
      </c>
      <c r="P34" t="n">
        <v>0</v>
      </c>
      <c r="Q34" t="n">
        <v>0</v>
      </c>
      <c r="R34" s="2" t="inlineStr"/>
    </row>
    <row r="35" ht="15" customHeight="1">
      <c r="A35" t="inlineStr">
        <is>
          <t>A 21260-2019</t>
        </is>
      </c>
      <c r="B35" s="1" t="n">
        <v>43579</v>
      </c>
      <c r="C35" s="1" t="n">
        <v>45812</v>
      </c>
      <c r="D35" t="inlineStr">
        <is>
          <t>ÖREBRO LÄN</t>
        </is>
      </c>
      <c r="E35" t="inlineStr">
        <is>
          <t>LEKEBERG</t>
        </is>
      </c>
      <c r="G35" t="n">
        <v>6.3</v>
      </c>
      <c r="H35" t="n">
        <v>0</v>
      </c>
      <c r="I35" t="n">
        <v>0</v>
      </c>
      <c r="J35" t="n">
        <v>0</v>
      </c>
      <c r="K35" t="n">
        <v>0</v>
      </c>
      <c r="L35" t="n">
        <v>0</v>
      </c>
      <c r="M35" t="n">
        <v>0</v>
      </c>
      <c r="N35" t="n">
        <v>0</v>
      </c>
      <c r="O35" t="n">
        <v>0</v>
      </c>
      <c r="P35" t="n">
        <v>0</v>
      </c>
      <c r="Q35" t="n">
        <v>0</v>
      </c>
      <c r="R35" s="2" t="inlineStr"/>
    </row>
    <row r="36" ht="15" customHeight="1">
      <c r="A36" t="inlineStr">
        <is>
          <t>A 21432-2019</t>
        </is>
      </c>
      <c r="B36" s="1" t="n">
        <v>43580</v>
      </c>
      <c r="C36" s="1" t="n">
        <v>45812</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22508-2019</t>
        </is>
      </c>
      <c r="B37" s="1" t="n">
        <v>43587</v>
      </c>
      <c r="C37" s="1" t="n">
        <v>45812</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24501-2019</t>
        </is>
      </c>
      <c r="B38" s="1" t="n">
        <v>43600</v>
      </c>
      <c r="C38" s="1" t="n">
        <v>45812</v>
      </c>
      <c r="D38" t="inlineStr">
        <is>
          <t>ÖREBRO LÄN</t>
        </is>
      </c>
      <c r="E38" t="inlineStr">
        <is>
          <t>LEKEBERG</t>
        </is>
      </c>
      <c r="G38" t="n">
        <v>2.5</v>
      </c>
      <c r="H38" t="n">
        <v>0</v>
      </c>
      <c r="I38" t="n">
        <v>0</v>
      </c>
      <c r="J38" t="n">
        <v>0</v>
      </c>
      <c r="K38" t="n">
        <v>0</v>
      </c>
      <c r="L38" t="n">
        <v>0</v>
      </c>
      <c r="M38" t="n">
        <v>0</v>
      </c>
      <c r="N38" t="n">
        <v>0</v>
      </c>
      <c r="O38" t="n">
        <v>0</v>
      </c>
      <c r="P38" t="n">
        <v>0</v>
      </c>
      <c r="Q38" t="n">
        <v>0</v>
      </c>
      <c r="R38" s="2" t="inlineStr"/>
    </row>
    <row r="39" ht="15" customHeight="1">
      <c r="A39" t="inlineStr">
        <is>
          <t>A 26838-2019</t>
        </is>
      </c>
      <c r="B39" s="1" t="n">
        <v>43613</v>
      </c>
      <c r="C39" s="1" t="n">
        <v>45812</v>
      </c>
      <c r="D39" t="inlineStr">
        <is>
          <t>ÖREBRO LÄN</t>
        </is>
      </c>
      <c r="E39" t="inlineStr">
        <is>
          <t>LEKEBERG</t>
        </is>
      </c>
      <c r="G39" t="n">
        <v>3.5</v>
      </c>
      <c r="H39" t="n">
        <v>0</v>
      </c>
      <c r="I39" t="n">
        <v>0</v>
      </c>
      <c r="J39" t="n">
        <v>0</v>
      </c>
      <c r="K39" t="n">
        <v>0</v>
      </c>
      <c r="L39" t="n">
        <v>0</v>
      </c>
      <c r="M39" t="n">
        <v>0</v>
      </c>
      <c r="N39" t="n">
        <v>0</v>
      </c>
      <c r="O39" t="n">
        <v>0</v>
      </c>
      <c r="P39" t="n">
        <v>0</v>
      </c>
      <c r="Q39" t="n">
        <v>0</v>
      </c>
      <c r="R39" s="2" t="inlineStr"/>
    </row>
    <row r="40" ht="15" customHeight="1">
      <c r="A40" t="inlineStr">
        <is>
          <t>A 29853-2019</t>
        </is>
      </c>
      <c r="B40" s="1" t="n">
        <v>43629</v>
      </c>
      <c r="C40" s="1" t="n">
        <v>45812</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30282-2019</t>
        </is>
      </c>
      <c r="B41" s="1" t="n">
        <v>43633</v>
      </c>
      <c r="C41" s="1" t="n">
        <v>45812</v>
      </c>
      <c r="D41" t="inlineStr">
        <is>
          <t>ÖREBRO LÄN</t>
        </is>
      </c>
      <c r="E41" t="inlineStr">
        <is>
          <t>LEKEBERG</t>
        </is>
      </c>
      <c r="G41" t="n">
        <v>6.4</v>
      </c>
      <c r="H41" t="n">
        <v>0</v>
      </c>
      <c r="I41" t="n">
        <v>0</v>
      </c>
      <c r="J41" t="n">
        <v>0</v>
      </c>
      <c r="K41" t="n">
        <v>0</v>
      </c>
      <c r="L41" t="n">
        <v>0</v>
      </c>
      <c r="M41" t="n">
        <v>0</v>
      </c>
      <c r="N41" t="n">
        <v>0</v>
      </c>
      <c r="O41" t="n">
        <v>0</v>
      </c>
      <c r="P41" t="n">
        <v>0</v>
      </c>
      <c r="Q41" t="n">
        <v>0</v>
      </c>
      <c r="R41" s="2" t="inlineStr"/>
    </row>
    <row r="42" ht="15" customHeight="1">
      <c r="A42" t="inlineStr">
        <is>
          <t>A 30299-2019</t>
        </is>
      </c>
      <c r="B42" s="1" t="n">
        <v>43633</v>
      </c>
      <c r="C42" s="1" t="n">
        <v>45812</v>
      </c>
      <c r="D42" t="inlineStr">
        <is>
          <t>ÖREBRO LÄN</t>
        </is>
      </c>
      <c r="E42" t="inlineStr">
        <is>
          <t>LEKEBERG</t>
        </is>
      </c>
      <c r="G42" t="n">
        <v>7.9</v>
      </c>
      <c r="H42" t="n">
        <v>0</v>
      </c>
      <c r="I42" t="n">
        <v>0</v>
      </c>
      <c r="J42" t="n">
        <v>0</v>
      </c>
      <c r="K42" t="n">
        <v>0</v>
      </c>
      <c r="L42" t="n">
        <v>0</v>
      </c>
      <c r="M42" t="n">
        <v>0</v>
      </c>
      <c r="N42" t="n">
        <v>0</v>
      </c>
      <c r="O42" t="n">
        <v>0</v>
      </c>
      <c r="P42" t="n">
        <v>0</v>
      </c>
      <c r="Q42" t="n">
        <v>0</v>
      </c>
      <c r="R42" s="2" t="inlineStr"/>
    </row>
    <row r="43" ht="15" customHeight="1">
      <c r="A43" t="inlineStr">
        <is>
          <t>A 32073-2019</t>
        </is>
      </c>
      <c r="B43" s="1" t="n">
        <v>43633</v>
      </c>
      <c r="C43" s="1" t="n">
        <v>45812</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31028-2019</t>
        </is>
      </c>
      <c r="B44" s="1" t="n">
        <v>43640</v>
      </c>
      <c r="C44" s="1" t="n">
        <v>45812</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37141-2019</t>
        </is>
      </c>
      <c r="B45" s="1" t="n">
        <v>43677</v>
      </c>
      <c r="C45" s="1" t="n">
        <v>45812</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37143-2019</t>
        </is>
      </c>
      <c r="B46" s="1" t="n">
        <v>43677</v>
      </c>
      <c r="C46" s="1" t="n">
        <v>45812</v>
      </c>
      <c r="D46" t="inlineStr">
        <is>
          <t>ÖREBRO LÄN</t>
        </is>
      </c>
      <c r="E46" t="inlineStr">
        <is>
          <t>LEKEBERG</t>
        </is>
      </c>
      <c r="G46" t="n">
        <v>2.3</v>
      </c>
      <c r="H46" t="n">
        <v>0</v>
      </c>
      <c r="I46" t="n">
        <v>0</v>
      </c>
      <c r="J46" t="n">
        <v>0</v>
      </c>
      <c r="K46" t="n">
        <v>0</v>
      </c>
      <c r="L46" t="n">
        <v>0</v>
      </c>
      <c r="M46" t="n">
        <v>0</v>
      </c>
      <c r="N46" t="n">
        <v>0</v>
      </c>
      <c r="O46" t="n">
        <v>0</v>
      </c>
      <c r="P46" t="n">
        <v>0</v>
      </c>
      <c r="Q46" t="n">
        <v>0</v>
      </c>
      <c r="R46" s="2" t="inlineStr"/>
    </row>
    <row r="47" ht="15" customHeight="1">
      <c r="A47" t="inlineStr">
        <is>
          <t>A 37142-2019</t>
        </is>
      </c>
      <c r="B47" s="1" t="n">
        <v>43677</v>
      </c>
      <c r="C47" s="1" t="n">
        <v>45812</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42351-2019</t>
        </is>
      </c>
      <c r="B48" s="1" t="n">
        <v>43703</v>
      </c>
      <c r="C48" s="1" t="n">
        <v>45812</v>
      </c>
      <c r="D48" t="inlineStr">
        <is>
          <t>ÖREBRO LÄN</t>
        </is>
      </c>
      <c r="E48" t="inlineStr">
        <is>
          <t>LEKEBERG</t>
        </is>
      </c>
      <c r="G48" t="n">
        <v>6.3</v>
      </c>
      <c r="H48" t="n">
        <v>0</v>
      </c>
      <c r="I48" t="n">
        <v>0</v>
      </c>
      <c r="J48" t="n">
        <v>0</v>
      </c>
      <c r="K48" t="n">
        <v>0</v>
      </c>
      <c r="L48" t="n">
        <v>0</v>
      </c>
      <c r="M48" t="n">
        <v>0</v>
      </c>
      <c r="N48" t="n">
        <v>0</v>
      </c>
      <c r="O48" t="n">
        <v>0</v>
      </c>
      <c r="P48" t="n">
        <v>0</v>
      </c>
      <c r="Q48" t="n">
        <v>0</v>
      </c>
      <c r="R48" s="2" t="inlineStr"/>
    </row>
    <row r="49" ht="15" customHeight="1">
      <c r="A49" t="inlineStr">
        <is>
          <t>A 52377-2019</t>
        </is>
      </c>
      <c r="B49" s="1" t="n">
        <v>43745</v>
      </c>
      <c r="C49" s="1" t="n">
        <v>45812</v>
      </c>
      <c r="D49" t="inlineStr">
        <is>
          <t>ÖREBRO LÄN</t>
        </is>
      </c>
      <c r="E49" t="inlineStr">
        <is>
          <t>LEKEBERG</t>
        </is>
      </c>
      <c r="F49" t="inlineStr">
        <is>
          <t>Sveaskog</t>
        </is>
      </c>
      <c r="G49" t="n">
        <v>2.8</v>
      </c>
      <c r="H49" t="n">
        <v>0</v>
      </c>
      <c r="I49" t="n">
        <v>0</v>
      </c>
      <c r="J49" t="n">
        <v>0</v>
      </c>
      <c r="K49" t="n">
        <v>0</v>
      </c>
      <c r="L49" t="n">
        <v>0</v>
      </c>
      <c r="M49" t="n">
        <v>0</v>
      </c>
      <c r="N49" t="n">
        <v>0</v>
      </c>
      <c r="O49" t="n">
        <v>0</v>
      </c>
      <c r="P49" t="n">
        <v>0</v>
      </c>
      <c r="Q49" t="n">
        <v>0</v>
      </c>
      <c r="R49" s="2" t="inlineStr"/>
    </row>
    <row r="50" ht="15" customHeight="1">
      <c r="A50" t="inlineStr">
        <is>
          <t>A 52380-2019</t>
        </is>
      </c>
      <c r="B50" s="1" t="n">
        <v>43745</v>
      </c>
      <c r="C50" s="1" t="n">
        <v>45812</v>
      </c>
      <c r="D50" t="inlineStr">
        <is>
          <t>ÖREBRO LÄN</t>
        </is>
      </c>
      <c r="E50" t="inlineStr">
        <is>
          <t>LEKEBERG</t>
        </is>
      </c>
      <c r="F50" t="inlineStr">
        <is>
          <t>Sveaskog</t>
        </is>
      </c>
      <c r="G50" t="n">
        <v>3.4</v>
      </c>
      <c r="H50" t="n">
        <v>0</v>
      </c>
      <c r="I50" t="n">
        <v>0</v>
      </c>
      <c r="J50" t="n">
        <v>0</v>
      </c>
      <c r="K50" t="n">
        <v>0</v>
      </c>
      <c r="L50" t="n">
        <v>0</v>
      </c>
      <c r="M50" t="n">
        <v>0</v>
      </c>
      <c r="N50" t="n">
        <v>0</v>
      </c>
      <c r="O50" t="n">
        <v>0</v>
      </c>
      <c r="P50" t="n">
        <v>0</v>
      </c>
      <c r="Q50" t="n">
        <v>0</v>
      </c>
      <c r="R50" s="2" t="inlineStr"/>
    </row>
    <row r="51" ht="15" customHeight="1">
      <c r="A51" t="inlineStr">
        <is>
          <t>A 54782-2019</t>
        </is>
      </c>
      <c r="B51" s="1" t="n">
        <v>43755</v>
      </c>
      <c r="C51" s="1" t="n">
        <v>45812</v>
      </c>
      <c r="D51" t="inlineStr">
        <is>
          <t>ÖREBRO LÄN</t>
        </is>
      </c>
      <c r="E51" t="inlineStr">
        <is>
          <t>LEKEBERG</t>
        </is>
      </c>
      <c r="G51" t="n">
        <v>4.3</v>
      </c>
      <c r="H51" t="n">
        <v>0</v>
      </c>
      <c r="I51" t="n">
        <v>0</v>
      </c>
      <c r="J51" t="n">
        <v>0</v>
      </c>
      <c r="K51" t="n">
        <v>0</v>
      </c>
      <c r="L51" t="n">
        <v>0</v>
      </c>
      <c r="M51" t="n">
        <v>0</v>
      </c>
      <c r="N51" t="n">
        <v>0</v>
      </c>
      <c r="O51" t="n">
        <v>0</v>
      </c>
      <c r="P51" t="n">
        <v>0</v>
      </c>
      <c r="Q51" t="n">
        <v>0</v>
      </c>
      <c r="R51" s="2" t="inlineStr"/>
    </row>
    <row r="52" ht="15" customHeight="1">
      <c r="A52" t="inlineStr">
        <is>
          <t>A 54770-2019</t>
        </is>
      </c>
      <c r="B52" s="1" t="n">
        <v>43755</v>
      </c>
      <c r="C52" s="1" t="n">
        <v>45812</v>
      </c>
      <c r="D52" t="inlineStr">
        <is>
          <t>ÖREBRO LÄN</t>
        </is>
      </c>
      <c r="E52" t="inlineStr">
        <is>
          <t>LEKEBERG</t>
        </is>
      </c>
      <c r="F52" t="inlineStr">
        <is>
          <t>Allmännings- och besparingsskogar</t>
        </is>
      </c>
      <c r="G52" t="n">
        <v>10.1</v>
      </c>
      <c r="H52" t="n">
        <v>0</v>
      </c>
      <c r="I52" t="n">
        <v>0</v>
      </c>
      <c r="J52" t="n">
        <v>0</v>
      </c>
      <c r="K52" t="n">
        <v>0</v>
      </c>
      <c r="L52" t="n">
        <v>0</v>
      </c>
      <c r="M52" t="n">
        <v>0</v>
      </c>
      <c r="N52" t="n">
        <v>0</v>
      </c>
      <c r="O52" t="n">
        <v>0</v>
      </c>
      <c r="P52" t="n">
        <v>0</v>
      </c>
      <c r="Q52" t="n">
        <v>0</v>
      </c>
      <c r="R52" s="2" t="inlineStr"/>
    </row>
    <row r="53" ht="15" customHeight="1">
      <c r="A53" t="inlineStr">
        <is>
          <t>A 54810-2019</t>
        </is>
      </c>
      <c r="B53" s="1" t="n">
        <v>43755</v>
      </c>
      <c r="C53" s="1" t="n">
        <v>45812</v>
      </c>
      <c r="D53" t="inlineStr">
        <is>
          <t>ÖREBRO LÄN</t>
        </is>
      </c>
      <c r="E53" t="inlineStr">
        <is>
          <t>LEKEBERG</t>
        </is>
      </c>
      <c r="F53" t="inlineStr">
        <is>
          <t>Allmännings- och besparingsskogar</t>
        </is>
      </c>
      <c r="G53" t="n">
        <v>8.4</v>
      </c>
      <c r="H53" t="n">
        <v>0</v>
      </c>
      <c r="I53" t="n">
        <v>0</v>
      </c>
      <c r="J53" t="n">
        <v>0</v>
      </c>
      <c r="K53" t="n">
        <v>0</v>
      </c>
      <c r="L53" t="n">
        <v>0</v>
      </c>
      <c r="M53" t="n">
        <v>0</v>
      </c>
      <c r="N53" t="n">
        <v>0</v>
      </c>
      <c r="O53" t="n">
        <v>0</v>
      </c>
      <c r="P53" t="n">
        <v>0</v>
      </c>
      <c r="Q53" t="n">
        <v>0</v>
      </c>
      <c r="R53" s="2" t="inlineStr"/>
    </row>
    <row r="54" ht="15" customHeight="1">
      <c r="A54" t="inlineStr">
        <is>
          <t>A 55640-2019</t>
        </is>
      </c>
      <c r="B54" s="1" t="n">
        <v>43755</v>
      </c>
      <c r="C54" s="1" t="n">
        <v>45812</v>
      </c>
      <c r="D54" t="inlineStr">
        <is>
          <t>ÖREBRO LÄN</t>
        </is>
      </c>
      <c r="E54" t="inlineStr">
        <is>
          <t>LEKEBERG</t>
        </is>
      </c>
      <c r="G54" t="n">
        <v>2.1</v>
      </c>
      <c r="H54" t="n">
        <v>0</v>
      </c>
      <c r="I54" t="n">
        <v>0</v>
      </c>
      <c r="J54" t="n">
        <v>0</v>
      </c>
      <c r="K54" t="n">
        <v>0</v>
      </c>
      <c r="L54" t="n">
        <v>0</v>
      </c>
      <c r="M54" t="n">
        <v>0</v>
      </c>
      <c r="N54" t="n">
        <v>0</v>
      </c>
      <c r="O54" t="n">
        <v>0</v>
      </c>
      <c r="P54" t="n">
        <v>0</v>
      </c>
      <c r="Q54" t="n">
        <v>0</v>
      </c>
      <c r="R54" s="2" t="inlineStr"/>
    </row>
    <row r="55" ht="15" customHeight="1">
      <c r="A55" t="inlineStr">
        <is>
          <t>A 60607-2019</t>
        </is>
      </c>
      <c r="B55" s="1" t="n">
        <v>43781</v>
      </c>
      <c r="C55" s="1" t="n">
        <v>45812</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61543-2019</t>
        </is>
      </c>
      <c r="B56" s="1" t="n">
        <v>43784</v>
      </c>
      <c r="C56" s="1" t="n">
        <v>45812</v>
      </c>
      <c r="D56" t="inlineStr">
        <is>
          <t>ÖREBRO LÄN</t>
        </is>
      </c>
      <c r="E56" t="inlineStr">
        <is>
          <t>LEKEBERG</t>
        </is>
      </c>
      <c r="G56" t="n">
        <v>1.6</v>
      </c>
      <c r="H56" t="n">
        <v>0</v>
      </c>
      <c r="I56" t="n">
        <v>0</v>
      </c>
      <c r="J56" t="n">
        <v>0</v>
      </c>
      <c r="K56" t="n">
        <v>0</v>
      </c>
      <c r="L56" t="n">
        <v>0</v>
      </c>
      <c r="M56" t="n">
        <v>0</v>
      </c>
      <c r="N56" t="n">
        <v>0</v>
      </c>
      <c r="O56" t="n">
        <v>0</v>
      </c>
      <c r="P56" t="n">
        <v>0</v>
      </c>
      <c r="Q56" t="n">
        <v>0</v>
      </c>
      <c r="R56" s="2" t="inlineStr"/>
    </row>
    <row r="57" ht="15" customHeight="1">
      <c r="A57" t="inlineStr">
        <is>
          <t>A 62990-2019</t>
        </is>
      </c>
      <c r="B57" s="1" t="n">
        <v>43790</v>
      </c>
      <c r="C57" s="1" t="n">
        <v>45812</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65102-2019</t>
        </is>
      </c>
      <c r="B58" s="1" t="n">
        <v>43802</v>
      </c>
      <c r="C58" s="1" t="n">
        <v>45812</v>
      </c>
      <c r="D58" t="inlineStr">
        <is>
          <t>ÖREBRO LÄN</t>
        </is>
      </c>
      <c r="E58" t="inlineStr">
        <is>
          <t>LEKEBERG</t>
        </is>
      </c>
      <c r="F58" t="inlineStr">
        <is>
          <t>Allmännings- och besparingsskogar</t>
        </is>
      </c>
      <c r="G58" t="n">
        <v>2.3</v>
      </c>
      <c r="H58" t="n">
        <v>0</v>
      </c>
      <c r="I58" t="n">
        <v>0</v>
      </c>
      <c r="J58" t="n">
        <v>0</v>
      </c>
      <c r="K58" t="n">
        <v>0</v>
      </c>
      <c r="L58" t="n">
        <v>0</v>
      </c>
      <c r="M58" t="n">
        <v>0</v>
      </c>
      <c r="N58" t="n">
        <v>0</v>
      </c>
      <c r="O58" t="n">
        <v>0</v>
      </c>
      <c r="P58" t="n">
        <v>0</v>
      </c>
      <c r="Q58" t="n">
        <v>0</v>
      </c>
      <c r="R58" s="2" t="inlineStr"/>
    </row>
    <row r="59" ht="15" customHeight="1">
      <c r="A59" t="inlineStr">
        <is>
          <t>A 66748-2019</t>
        </is>
      </c>
      <c r="B59" s="1" t="n">
        <v>43810</v>
      </c>
      <c r="C59" s="1" t="n">
        <v>45812</v>
      </c>
      <c r="D59" t="inlineStr">
        <is>
          <t>ÖREBRO LÄN</t>
        </is>
      </c>
      <c r="E59" t="inlineStr">
        <is>
          <t>LEKEBERG</t>
        </is>
      </c>
      <c r="G59" t="n">
        <v>1.5</v>
      </c>
      <c r="H59" t="n">
        <v>0</v>
      </c>
      <c r="I59" t="n">
        <v>0</v>
      </c>
      <c r="J59" t="n">
        <v>0</v>
      </c>
      <c r="K59" t="n">
        <v>0</v>
      </c>
      <c r="L59" t="n">
        <v>0</v>
      </c>
      <c r="M59" t="n">
        <v>0</v>
      </c>
      <c r="N59" t="n">
        <v>0</v>
      </c>
      <c r="O59" t="n">
        <v>0</v>
      </c>
      <c r="P59" t="n">
        <v>0</v>
      </c>
      <c r="Q59" t="n">
        <v>0</v>
      </c>
      <c r="R59" s="2" t="inlineStr"/>
    </row>
    <row r="60" ht="15" customHeight="1">
      <c r="A60" t="inlineStr">
        <is>
          <t>A 2218-2020</t>
        </is>
      </c>
      <c r="B60" s="1" t="n">
        <v>43846</v>
      </c>
      <c r="C60" s="1" t="n">
        <v>45812</v>
      </c>
      <c r="D60" t="inlineStr">
        <is>
          <t>ÖREBRO LÄN</t>
        </is>
      </c>
      <c r="E60" t="inlineStr">
        <is>
          <t>LEKEBERG</t>
        </is>
      </c>
      <c r="G60" t="n">
        <v>1.4</v>
      </c>
      <c r="H60" t="n">
        <v>0</v>
      </c>
      <c r="I60" t="n">
        <v>0</v>
      </c>
      <c r="J60" t="n">
        <v>0</v>
      </c>
      <c r="K60" t="n">
        <v>0</v>
      </c>
      <c r="L60" t="n">
        <v>0</v>
      </c>
      <c r="M60" t="n">
        <v>0</v>
      </c>
      <c r="N60" t="n">
        <v>0</v>
      </c>
      <c r="O60" t="n">
        <v>0</v>
      </c>
      <c r="P60" t="n">
        <v>0</v>
      </c>
      <c r="Q60" t="n">
        <v>0</v>
      </c>
      <c r="R60" s="2" t="inlineStr"/>
    </row>
    <row r="61" ht="15" customHeight="1">
      <c r="A61" t="inlineStr">
        <is>
          <t>A 9238-2020</t>
        </is>
      </c>
      <c r="B61" s="1" t="n">
        <v>43879</v>
      </c>
      <c r="C61" s="1" t="n">
        <v>45812</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11437-2020</t>
        </is>
      </c>
      <c r="B62" s="1" t="n">
        <v>43893</v>
      </c>
      <c r="C62" s="1" t="n">
        <v>45812</v>
      </c>
      <c r="D62" t="inlineStr">
        <is>
          <t>ÖREBRO LÄN</t>
        </is>
      </c>
      <c r="E62" t="inlineStr">
        <is>
          <t>LEKEBERG</t>
        </is>
      </c>
      <c r="G62" t="n">
        <v>11.1</v>
      </c>
      <c r="H62" t="n">
        <v>0</v>
      </c>
      <c r="I62" t="n">
        <v>0</v>
      </c>
      <c r="J62" t="n">
        <v>0</v>
      </c>
      <c r="K62" t="n">
        <v>0</v>
      </c>
      <c r="L62" t="n">
        <v>0</v>
      </c>
      <c r="M62" t="n">
        <v>0</v>
      </c>
      <c r="N62" t="n">
        <v>0</v>
      </c>
      <c r="O62" t="n">
        <v>0</v>
      </c>
      <c r="P62" t="n">
        <v>0</v>
      </c>
      <c r="Q62" t="n">
        <v>0</v>
      </c>
      <c r="R62" s="2" t="inlineStr"/>
    </row>
    <row r="63" ht="15" customHeight="1">
      <c r="A63" t="inlineStr">
        <is>
          <t>A 12251-2020</t>
        </is>
      </c>
      <c r="B63" s="1" t="n">
        <v>43895</v>
      </c>
      <c r="C63" s="1" t="n">
        <v>45812</v>
      </c>
      <c r="D63" t="inlineStr">
        <is>
          <t>ÖREBRO LÄN</t>
        </is>
      </c>
      <c r="E63" t="inlineStr">
        <is>
          <t>LEKEBERG</t>
        </is>
      </c>
      <c r="G63" t="n">
        <v>7.2</v>
      </c>
      <c r="H63" t="n">
        <v>0</v>
      </c>
      <c r="I63" t="n">
        <v>0</v>
      </c>
      <c r="J63" t="n">
        <v>0</v>
      </c>
      <c r="K63" t="n">
        <v>0</v>
      </c>
      <c r="L63" t="n">
        <v>0</v>
      </c>
      <c r="M63" t="n">
        <v>0</v>
      </c>
      <c r="N63" t="n">
        <v>0</v>
      </c>
      <c r="O63" t="n">
        <v>0</v>
      </c>
      <c r="P63" t="n">
        <v>0</v>
      </c>
      <c r="Q63" t="n">
        <v>0</v>
      </c>
      <c r="R63" s="2" t="inlineStr"/>
    </row>
    <row r="64" ht="15" customHeight="1">
      <c r="A64" t="inlineStr">
        <is>
          <t>A 14027-2020</t>
        </is>
      </c>
      <c r="B64" s="1" t="n">
        <v>43906</v>
      </c>
      <c r="C64" s="1" t="n">
        <v>45812</v>
      </c>
      <c r="D64" t="inlineStr">
        <is>
          <t>ÖREBRO LÄN</t>
        </is>
      </c>
      <c r="E64" t="inlineStr">
        <is>
          <t>LEKEBERG</t>
        </is>
      </c>
      <c r="G64" t="n">
        <v>3.9</v>
      </c>
      <c r="H64" t="n">
        <v>0</v>
      </c>
      <c r="I64" t="n">
        <v>0</v>
      </c>
      <c r="J64" t="n">
        <v>0</v>
      </c>
      <c r="K64" t="n">
        <v>0</v>
      </c>
      <c r="L64" t="n">
        <v>0</v>
      </c>
      <c r="M64" t="n">
        <v>0</v>
      </c>
      <c r="N64" t="n">
        <v>0</v>
      </c>
      <c r="O64" t="n">
        <v>0</v>
      </c>
      <c r="P64" t="n">
        <v>0</v>
      </c>
      <c r="Q64" t="n">
        <v>0</v>
      </c>
      <c r="R64" s="2" t="inlineStr"/>
    </row>
    <row r="65" ht="15" customHeight="1">
      <c r="A65" t="inlineStr">
        <is>
          <t>A 16073-2020</t>
        </is>
      </c>
      <c r="B65" s="1" t="n">
        <v>43916</v>
      </c>
      <c r="C65" s="1" t="n">
        <v>45812</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16232-2020</t>
        </is>
      </c>
      <c r="B66" s="1" t="n">
        <v>43917</v>
      </c>
      <c r="C66" s="1" t="n">
        <v>45812</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16207-2020</t>
        </is>
      </c>
      <c r="B67" s="1" t="n">
        <v>43917</v>
      </c>
      <c r="C67" s="1" t="n">
        <v>45812</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18790-2020</t>
        </is>
      </c>
      <c r="B68" s="1" t="n">
        <v>43931</v>
      </c>
      <c r="C68" s="1" t="n">
        <v>45812</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21500-2020</t>
        </is>
      </c>
      <c r="B69" s="1" t="n">
        <v>43956</v>
      </c>
      <c r="C69" s="1" t="n">
        <v>45812</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26033-2020</t>
        </is>
      </c>
      <c r="B70" s="1" t="n">
        <v>43985</v>
      </c>
      <c r="C70" s="1" t="n">
        <v>45812</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30610-2020</t>
        </is>
      </c>
      <c r="B71" s="1" t="n">
        <v>44008</v>
      </c>
      <c r="C71" s="1" t="n">
        <v>45812</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32469-2020</t>
        </is>
      </c>
      <c r="B72" s="1" t="n">
        <v>44018</v>
      </c>
      <c r="C72" s="1" t="n">
        <v>45812</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33855-2020</t>
        </is>
      </c>
      <c r="B73" s="1" t="n">
        <v>44025</v>
      </c>
      <c r="C73" s="1" t="n">
        <v>45812</v>
      </c>
      <c r="D73" t="inlineStr">
        <is>
          <t>ÖREBRO LÄN</t>
        </is>
      </c>
      <c r="E73" t="inlineStr">
        <is>
          <t>LEKEBERG</t>
        </is>
      </c>
      <c r="G73" t="n">
        <v>5.9</v>
      </c>
      <c r="H73" t="n">
        <v>0</v>
      </c>
      <c r="I73" t="n">
        <v>0</v>
      </c>
      <c r="J73" t="n">
        <v>0</v>
      </c>
      <c r="K73" t="n">
        <v>0</v>
      </c>
      <c r="L73" t="n">
        <v>0</v>
      </c>
      <c r="M73" t="n">
        <v>0</v>
      </c>
      <c r="N73" t="n">
        <v>0</v>
      </c>
      <c r="O73" t="n">
        <v>0</v>
      </c>
      <c r="P73" t="n">
        <v>0</v>
      </c>
      <c r="Q73" t="n">
        <v>0</v>
      </c>
      <c r="R73" s="2" t="inlineStr"/>
    </row>
    <row r="74" ht="15" customHeight="1">
      <c r="A74" t="inlineStr">
        <is>
          <t>A 35315-2020</t>
        </is>
      </c>
      <c r="B74" s="1" t="n">
        <v>44041</v>
      </c>
      <c r="C74" s="1" t="n">
        <v>45812</v>
      </c>
      <c r="D74" t="inlineStr">
        <is>
          <t>ÖREBRO LÄN</t>
        </is>
      </c>
      <c r="E74" t="inlineStr">
        <is>
          <t>LEKEBERG</t>
        </is>
      </c>
      <c r="F74" t="inlineStr">
        <is>
          <t>Allmännings- och besparingsskogar</t>
        </is>
      </c>
      <c r="G74" t="n">
        <v>5.4</v>
      </c>
      <c r="H74" t="n">
        <v>0</v>
      </c>
      <c r="I74" t="n">
        <v>0</v>
      </c>
      <c r="J74" t="n">
        <v>0</v>
      </c>
      <c r="K74" t="n">
        <v>0</v>
      </c>
      <c r="L74" t="n">
        <v>0</v>
      </c>
      <c r="M74" t="n">
        <v>0</v>
      </c>
      <c r="N74" t="n">
        <v>0</v>
      </c>
      <c r="O74" t="n">
        <v>0</v>
      </c>
      <c r="P74" t="n">
        <v>0</v>
      </c>
      <c r="Q74" t="n">
        <v>0</v>
      </c>
      <c r="R74" s="2" t="inlineStr"/>
    </row>
    <row r="75" ht="15" customHeight="1">
      <c r="A75" t="inlineStr">
        <is>
          <t>A 35328-2020</t>
        </is>
      </c>
      <c r="B75" s="1" t="n">
        <v>44041</v>
      </c>
      <c r="C75" s="1" t="n">
        <v>45812</v>
      </c>
      <c r="D75" t="inlineStr">
        <is>
          <t>ÖREBRO LÄN</t>
        </is>
      </c>
      <c r="E75" t="inlineStr">
        <is>
          <t>LEKEBERG</t>
        </is>
      </c>
      <c r="F75" t="inlineStr">
        <is>
          <t>Allmännings- och besparingsskogar</t>
        </is>
      </c>
      <c r="G75" t="n">
        <v>4.8</v>
      </c>
      <c r="H75" t="n">
        <v>0</v>
      </c>
      <c r="I75" t="n">
        <v>0</v>
      </c>
      <c r="J75" t="n">
        <v>0</v>
      </c>
      <c r="K75" t="n">
        <v>0</v>
      </c>
      <c r="L75" t="n">
        <v>0</v>
      </c>
      <c r="M75" t="n">
        <v>0</v>
      </c>
      <c r="N75" t="n">
        <v>0</v>
      </c>
      <c r="O75" t="n">
        <v>0</v>
      </c>
      <c r="P75" t="n">
        <v>0</v>
      </c>
      <c r="Q75" t="n">
        <v>0</v>
      </c>
      <c r="R75" s="2" t="inlineStr"/>
    </row>
    <row r="76" ht="15" customHeight="1">
      <c r="A76" t="inlineStr">
        <is>
          <t>A 36858-2020</t>
        </is>
      </c>
      <c r="B76" s="1" t="n">
        <v>44053</v>
      </c>
      <c r="C76" s="1" t="n">
        <v>45812</v>
      </c>
      <c r="D76" t="inlineStr">
        <is>
          <t>ÖREBRO LÄN</t>
        </is>
      </c>
      <c r="E76" t="inlineStr">
        <is>
          <t>LEKEBERG</t>
        </is>
      </c>
      <c r="F76" t="inlineStr">
        <is>
          <t>Allmännings- och besparingsskogar</t>
        </is>
      </c>
      <c r="G76" t="n">
        <v>41.5</v>
      </c>
      <c r="H76" t="n">
        <v>0</v>
      </c>
      <c r="I76" t="n">
        <v>0</v>
      </c>
      <c r="J76" t="n">
        <v>0</v>
      </c>
      <c r="K76" t="n">
        <v>0</v>
      </c>
      <c r="L76" t="n">
        <v>0</v>
      </c>
      <c r="M76" t="n">
        <v>0</v>
      </c>
      <c r="N76" t="n">
        <v>0</v>
      </c>
      <c r="O76" t="n">
        <v>0</v>
      </c>
      <c r="P76" t="n">
        <v>0</v>
      </c>
      <c r="Q76" t="n">
        <v>0</v>
      </c>
      <c r="R76" s="2" t="inlineStr"/>
    </row>
    <row r="77" ht="15" customHeight="1">
      <c r="A77" t="inlineStr">
        <is>
          <t>A 37612-2020</t>
        </is>
      </c>
      <c r="B77" s="1" t="n">
        <v>44056</v>
      </c>
      <c r="C77" s="1" t="n">
        <v>45812</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39853-2020</t>
        </is>
      </c>
      <c r="B78" s="1" t="n">
        <v>44067</v>
      </c>
      <c r="C78" s="1" t="n">
        <v>45812</v>
      </c>
      <c r="D78" t="inlineStr">
        <is>
          <t>ÖREBRO LÄN</t>
        </is>
      </c>
      <c r="E78" t="inlineStr">
        <is>
          <t>LEKEBERG</t>
        </is>
      </c>
      <c r="G78" t="n">
        <v>1.4</v>
      </c>
      <c r="H78" t="n">
        <v>0</v>
      </c>
      <c r="I78" t="n">
        <v>0</v>
      </c>
      <c r="J78" t="n">
        <v>0</v>
      </c>
      <c r="K78" t="n">
        <v>0</v>
      </c>
      <c r="L78" t="n">
        <v>0</v>
      </c>
      <c r="M78" t="n">
        <v>0</v>
      </c>
      <c r="N78" t="n">
        <v>0</v>
      </c>
      <c r="O78" t="n">
        <v>0</v>
      </c>
      <c r="P78" t="n">
        <v>0</v>
      </c>
      <c r="Q78" t="n">
        <v>0</v>
      </c>
      <c r="R78" s="2" t="inlineStr"/>
    </row>
    <row r="79" ht="15" customHeight="1">
      <c r="A79" t="inlineStr">
        <is>
          <t>A 52371-2020</t>
        </is>
      </c>
      <c r="B79" s="1" t="n">
        <v>44112</v>
      </c>
      <c r="C79" s="1" t="n">
        <v>45812</v>
      </c>
      <c r="D79" t="inlineStr">
        <is>
          <t>ÖREBRO LÄN</t>
        </is>
      </c>
      <c r="E79" t="inlineStr">
        <is>
          <t>LEKEBERG</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53334-2020</t>
        </is>
      </c>
      <c r="B80" s="1" t="n">
        <v>44123</v>
      </c>
      <c r="C80" s="1" t="n">
        <v>45812</v>
      </c>
      <c r="D80" t="inlineStr">
        <is>
          <t>ÖREBRO LÄN</t>
        </is>
      </c>
      <c r="E80" t="inlineStr">
        <is>
          <t>LEKEBERG</t>
        </is>
      </c>
      <c r="G80" t="n">
        <v>2.7</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45812</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56030-2020</t>
        </is>
      </c>
      <c r="B82" s="1" t="n">
        <v>44132</v>
      </c>
      <c r="C82" s="1" t="n">
        <v>45812</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56419-2020</t>
        </is>
      </c>
      <c r="B83" s="1" t="n">
        <v>44137</v>
      </c>
      <c r="C83" s="1" t="n">
        <v>45812</v>
      </c>
      <c r="D83" t="inlineStr">
        <is>
          <t>ÖREBRO LÄN</t>
        </is>
      </c>
      <c r="E83" t="inlineStr">
        <is>
          <t>LEKEBERG</t>
        </is>
      </c>
      <c r="G83" t="n">
        <v>4</v>
      </c>
      <c r="H83" t="n">
        <v>0</v>
      </c>
      <c r="I83" t="n">
        <v>0</v>
      </c>
      <c r="J83" t="n">
        <v>0</v>
      </c>
      <c r="K83" t="n">
        <v>0</v>
      </c>
      <c r="L83" t="n">
        <v>0</v>
      </c>
      <c r="M83" t="n">
        <v>0</v>
      </c>
      <c r="N83" t="n">
        <v>0</v>
      </c>
      <c r="O83" t="n">
        <v>0</v>
      </c>
      <c r="P83" t="n">
        <v>0</v>
      </c>
      <c r="Q83" t="n">
        <v>0</v>
      </c>
      <c r="R83" s="2" t="inlineStr"/>
    </row>
    <row r="84" ht="15" customHeight="1">
      <c r="A84" t="inlineStr">
        <is>
          <t>A 57044-2020</t>
        </is>
      </c>
      <c r="B84" s="1" t="n">
        <v>44137</v>
      </c>
      <c r="C84" s="1" t="n">
        <v>45812</v>
      </c>
      <c r="D84" t="inlineStr">
        <is>
          <t>ÖREBRO LÄN</t>
        </is>
      </c>
      <c r="E84" t="inlineStr">
        <is>
          <t>LEKEBERG</t>
        </is>
      </c>
      <c r="G84" t="n">
        <v>5.5</v>
      </c>
      <c r="H84" t="n">
        <v>0</v>
      </c>
      <c r="I84" t="n">
        <v>0</v>
      </c>
      <c r="J84" t="n">
        <v>0</v>
      </c>
      <c r="K84" t="n">
        <v>0</v>
      </c>
      <c r="L84" t="n">
        <v>0</v>
      </c>
      <c r="M84" t="n">
        <v>0</v>
      </c>
      <c r="N84" t="n">
        <v>0</v>
      </c>
      <c r="O84" t="n">
        <v>0</v>
      </c>
      <c r="P84" t="n">
        <v>0</v>
      </c>
      <c r="Q84" t="n">
        <v>0</v>
      </c>
      <c r="R84" s="2" t="inlineStr"/>
    </row>
    <row r="85" ht="15" customHeight="1">
      <c r="A85" t="inlineStr">
        <is>
          <t>A 57255-2020</t>
        </is>
      </c>
      <c r="B85" s="1" t="n">
        <v>44139</v>
      </c>
      <c r="C85" s="1" t="n">
        <v>45812</v>
      </c>
      <c r="D85" t="inlineStr">
        <is>
          <t>ÖREBRO LÄN</t>
        </is>
      </c>
      <c r="E85" t="inlineStr">
        <is>
          <t>LEKEBERG</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57257-2020</t>
        </is>
      </c>
      <c r="B86" s="1" t="n">
        <v>44139</v>
      </c>
      <c r="C86" s="1" t="n">
        <v>45812</v>
      </c>
      <c r="D86" t="inlineStr">
        <is>
          <t>ÖREBRO LÄN</t>
        </is>
      </c>
      <c r="E86" t="inlineStr">
        <is>
          <t>LEKEBERG</t>
        </is>
      </c>
      <c r="F86" t="inlineStr">
        <is>
          <t>Allmännings- och besparingsskogar</t>
        </is>
      </c>
      <c r="G86" t="n">
        <v>0.8</v>
      </c>
      <c r="H86" t="n">
        <v>0</v>
      </c>
      <c r="I86" t="n">
        <v>0</v>
      </c>
      <c r="J86" t="n">
        <v>0</v>
      </c>
      <c r="K86" t="n">
        <v>0</v>
      </c>
      <c r="L86" t="n">
        <v>0</v>
      </c>
      <c r="M86" t="n">
        <v>0</v>
      </c>
      <c r="N86" t="n">
        <v>0</v>
      </c>
      <c r="O86" t="n">
        <v>0</v>
      </c>
      <c r="P86" t="n">
        <v>0</v>
      </c>
      <c r="Q86" t="n">
        <v>0</v>
      </c>
      <c r="R86" s="2" t="inlineStr"/>
    </row>
    <row r="87" ht="15" customHeight="1">
      <c r="A87" t="inlineStr">
        <is>
          <t>A 62678-2020</t>
        </is>
      </c>
      <c r="B87" s="1" t="n">
        <v>44161</v>
      </c>
      <c r="C87" s="1" t="n">
        <v>45812</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68250-2020</t>
        </is>
      </c>
      <c r="B88" s="1" t="n">
        <v>44183</v>
      </c>
      <c r="C88" s="1" t="n">
        <v>45812</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1592-2021</t>
        </is>
      </c>
      <c r="B89" s="1" t="n">
        <v>44209</v>
      </c>
      <c r="C89" s="1" t="n">
        <v>45812</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1759-2021</t>
        </is>
      </c>
      <c r="B90" s="1" t="n">
        <v>44209</v>
      </c>
      <c r="C90" s="1" t="n">
        <v>45812</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6757-2021</t>
        </is>
      </c>
      <c r="B91" s="1" t="n">
        <v>44236</v>
      </c>
      <c r="C91" s="1" t="n">
        <v>45812</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7105-2021</t>
        </is>
      </c>
      <c r="B92" s="1" t="n">
        <v>44238</v>
      </c>
      <c r="C92" s="1" t="n">
        <v>45812</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11462-2021</t>
        </is>
      </c>
      <c r="B93" s="1" t="n">
        <v>44264</v>
      </c>
      <c r="C93" s="1" t="n">
        <v>45812</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14365-2021</t>
        </is>
      </c>
      <c r="B94" s="1" t="n">
        <v>44279</v>
      </c>
      <c r="C94" s="1" t="n">
        <v>45812</v>
      </c>
      <c r="D94" t="inlineStr">
        <is>
          <t>ÖREBRO LÄN</t>
        </is>
      </c>
      <c r="E94" t="inlineStr">
        <is>
          <t>LEKEBERG</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21486-2021</t>
        </is>
      </c>
      <c r="B95" s="1" t="n">
        <v>44321</v>
      </c>
      <c r="C95" s="1" t="n">
        <v>45812</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23565-2021</t>
        </is>
      </c>
      <c r="B96" s="1" t="n">
        <v>44334</v>
      </c>
      <c r="C96" s="1" t="n">
        <v>45812</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30603-2021</t>
        </is>
      </c>
      <c r="B97" s="1" t="n">
        <v>44365</v>
      </c>
      <c r="C97" s="1" t="n">
        <v>45812</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33820-2021</t>
        </is>
      </c>
      <c r="B98" s="1" t="n">
        <v>44378</v>
      </c>
      <c r="C98" s="1" t="n">
        <v>45812</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35546-2021</t>
        </is>
      </c>
      <c r="B99" s="1" t="n">
        <v>44385</v>
      </c>
      <c r="C99" s="1" t="n">
        <v>45812</v>
      </c>
      <c r="D99" t="inlineStr">
        <is>
          <t>ÖREBRO LÄN</t>
        </is>
      </c>
      <c r="E99" t="inlineStr">
        <is>
          <t>LEKEBERG</t>
        </is>
      </c>
      <c r="G99" t="n">
        <v>10.1</v>
      </c>
      <c r="H99" t="n">
        <v>0</v>
      </c>
      <c r="I99" t="n">
        <v>0</v>
      </c>
      <c r="J99" t="n">
        <v>0</v>
      </c>
      <c r="K99" t="n">
        <v>0</v>
      </c>
      <c r="L99" t="n">
        <v>0</v>
      </c>
      <c r="M99" t="n">
        <v>0</v>
      </c>
      <c r="N99" t="n">
        <v>0</v>
      </c>
      <c r="O99" t="n">
        <v>0</v>
      </c>
      <c r="P99" t="n">
        <v>0</v>
      </c>
      <c r="Q99" t="n">
        <v>0</v>
      </c>
      <c r="R99" s="2" t="inlineStr"/>
    </row>
    <row r="100" ht="15" customHeight="1">
      <c r="A100" t="inlineStr">
        <is>
          <t>A 37491-2021</t>
        </is>
      </c>
      <c r="B100" s="1" t="n">
        <v>44399</v>
      </c>
      <c r="C100" s="1" t="n">
        <v>45812</v>
      </c>
      <c r="D100" t="inlineStr">
        <is>
          <t>ÖREBRO LÄN</t>
        </is>
      </c>
      <c r="E100" t="inlineStr">
        <is>
          <t>LEKEBERG</t>
        </is>
      </c>
      <c r="G100" t="n">
        <v>2.7</v>
      </c>
      <c r="H100" t="n">
        <v>0</v>
      </c>
      <c r="I100" t="n">
        <v>0</v>
      </c>
      <c r="J100" t="n">
        <v>0</v>
      </c>
      <c r="K100" t="n">
        <v>0</v>
      </c>
      <c r="L100" t="n">
        <v>0</v>
      </c>
      <c r="M100" t="n">
        <v>0</v>
      </c>
      <c r="N100" t="n">
        <v>0</v>
      </c>
      <c r="O100" t="n">
        <v>0</v>
      </c>
      <c r="P100" t="n">
        <v>0</v>
      </c>
      <c r="Q100" t="n">
        <v>0</v>
      </c>
      <c r="R100" s="2" t="inlineStr"/>
    </row>
    <row r="101" ht="15" customHeight="1">
      <c r="A101" t="inlineStr">
        <is>
          <t>A 41269-2021</t>
        </is>
      </c>
      <c r="B101" s="1" t="n">
        <v>44424</v>
      </c>
      <c r="C101" s="1" t="n">
        <v>45812</v>
      </c>
      <c r="D101" t="inlineStr">
        <is>
          <t>ÖREBRO LÄN</t>
        </is>
      </c>
      <c r="E101" t="inlineStr">
        <is>
          <t>LEKEBERG</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42945-2021</t>
        </is>
      </c>
      <c r="B102" s="1" t="n">
        <v>44431</v>
      </c>
      <c r="C102" s="1" t="n">
        <v>45812</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43682-2021</t>
        </is>
      </c>
      <c r="B103" s="1" t="n">
        <v>44433</v>
      </c>
      <c r="C103" s="1" t="n">
        <v>45812</v>
      </c>
      <c r="D103" t="inlineStr">
        <is>
          <t>ÖREBRO LÄN</t>
        </is>
      </c>
      <c r="E103" t="inlineStr">
        <is>
          <t>LEKEBERG</t>
        </is>
      </c>
      <c r="G103" t="n">
        <v>3.9</v>
      </c>
      <c r="H103" t="n">
        <v>0</v>
      </c>
      <c r="I103" t="n">
        <v>0</v>
      </c>
      <c r="J103" t="n">
        <v>0</v>
      </c>
      <c r="K103" t="n">
        <v>0</v>
      </c>
      <c r="L103" t="n">
        <v>0</v>
      </c>
      <c r="M103" t="n">
        <v>0</v>
      </c>
      <c r="N103" t="n">
        <v>0</v>
      </c>
      <c r="O103" t="n">
        <v>0</v>
      </c>
      <c r="P103" t="n">
        <v>0</v>
      </c>
      <c r="Q103" t="n">
        <v>0</v>
      </c>
      <c r="R103" s="2" t="inlineStr"/>
    </row>
    <row r="104" ht="15" customHeight="1">
      <c r="A104" t="inlineStr">
        <is>
          <t>A 46398-2021</t>
        </is>
      </c>
      <c r="B104" s="1" t="n">
        <v>44443</v>
      </c>
      <c r="C104" s="1" t="n">
        <v>45812</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46400-2021</t>
        </is>
      </c>
      <c r="B105" s="1" t="n">
        <v>44443</v>
      </c>
      <c r="C105" s="1" t="n">
        <v>45812</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46397-2021</t>
        </is>
      </c>
      <c r="B106" s="1" t="n">
        <v>44443</v>
      </c>
      <c r="C106" s="1" t="n">
        <v>45812</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v>
      </c>
      <c r="C107" s="1" t="n">
        <v>45812</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48270-2021</t>
        </is>
      </c>
      <c r="B108" s="1" t="n">
        <v>44449</v>
      </c>
      <c r="C108" s="1" t="n">
        <v>45812</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48296-2021</t>
        </is>
      </c>
      <c r="B109" s="1" t="n">
        <v>44450</v>
      </c>
      <c r="C109" s="1" t="n">
        <v>45812</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51665-2021</t>
        </is>
      </c>
      <c r="B110" s="1" t="n">
        <v>44462</v>
      </c>
      <c r="C110" s="1" t="n">
        <v>45812</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51659-2021</t>
        </is>
      </c>
      <c r="B111" s="1" t="n">
        <v>44462</v>
      </c>
      <c r="C111" s="1" t="n">
        <v>45812</v>
      </c>
      <c r="D111" t="inlineStr">
        <is>
          <t>ÖREBRO LÄN</t>
        </is>
      </c>
      <c r="E111" t="inlineStr">
        <is>
          <t>LEKEBERG</t>
        </is>
      </c>
      <c r="G111" t="n">
        <v>3.1</v>
      </c>
      <c r="H111" t="n">
        <v>0</v>
      </c>
      <c r="I111" t="n">
        <v>0</v>
      </c>
      <c r="J111" t="n">
        <v>0</v>
      </c>
      <c r="K111" t="n">
        <v>0</v>
      </c>
      <c r="L111" t="n">
        <v>0</v>
      </c>
      <c r="M111" t="n">
        <v>0</v>
      </c>
      <c r="N111" t="n">
        <v>0</v>
      </c>
      <c r="O111" t="n">
        <v>0</v>
      </c>
      <c r="P111" t="n">
        <v>0</v>
      </c>
      <c r="Q111" t="n">
        <v>0</v>
      </c>
      <c r="R111" s="2" t="inlineStr"/>
    </row>
    <row r="112" ht="15" customHeight="1">
      <c r="A112" t="inlineStr">
        <is>
          <t>A 53299-2021</t>
        </is>
      </c>
      <c r="B112" s="1" t="n">
        <v>44467</v>
      </c>
      <c r="C112" s="1" t="n">
        <v>45812</v>
      </c>
      <c r="D112" t="inlineStr">
        <is>
          <t>ÖREBRO LÄN</t>
        </is>
      </c>
      <c r="E112" t="inlineStr">
        <is>
          <t>LEKEBERG</t>
        </is>
      </c>
      <c r="F112" t="inlineStr">
        <is>
          <t>Naturvårdsverket</t>
        </is>
      </c>
      <c r="G112" t="n">
        <v>6</v>
      </c>
      <c r="H112" t="n">
        <v>0</v>
      </c>
      <c r="I112" t="n">
        <v>0</v>
      </c>
      <c r="J112" t="n">
        <v>0</v>
      </c>
      <c r="K112" t="n">
        <v>0</v>
      </c>
      <c r="L112" t="n">
        <v>0</v>
      </c>
      <c r="M112" t="n">
        <v>0</v>
      </c>
      <c r="N112" t="n">
        <v>0</v>
      </c>
      <c r="O112" t="n">
        <v>0</v>
      </c>
      <c r="P112" t="n">
        <v>0</v>
      </c>
      <c r="Q112" t="n">
        <v>0</v>
      </c>
      <c r="R112" s="2" t="inlineStr"/>
    </row>
    <row r="113" ht="15" customHeight="1">
      <c r="A113" t="inlineStr">
        <is>
          <t>A 56267-2021</t>
        </is>
      </c>
      <c r="B113" s="1" t="n">
        <v>44479</v>
      </c>
      <c r="C113" s="1" t="n">
        <v>45812</v>
      </c>
      <c r="D113" t="inlineStr">
        <is>
          <t>ÖREBRO LÄN</t>
        </is>
      </c>
      <c r="E113" t="inlineStr">
        <is>
          <t>LEKEBERG</t>
        </is>
      </c>
      <c r="G113" t="n">
        <v>2.4</v>
      </c>
      <c r="H113" t="n">
        <v>0</v>
      </c>
      <c r="I113" t="n">
        <v>0</v>
      </c>
      <c r="J113" t="n">
        <v>0</v>
      </c>
      <c r="K113" t="n">
        <v>0</v>
      </c>
      <c r="L113" t="n">
        <v>0</v>
      </c>
      <c r="M113" t="n">
        <v>0</v>
      </c>
      <c r="N113" t="n">
        <v>0</v>
      </c>
      <c r="O113" t="n">
        <v>0</v>
      </c>
      <c r="P113" t="n">
        <v>0</v>
      </c>
      <c r="Q113" t="n">
        <v>0</v>
      </c>
      <c r="R113" s="2" t="inlineStr"/>
    </row>
    <row r="114" ht="15" customHeight="1">
      <c r="A114" t="inlineStr">
        <is>
          <t>A 58020-2021</t>
        </is>
      </c>
      <c r="B114" s="1" t="n">
        <v>44484</v>
      </c>
      <c r="C114" s="1" t="n">
        <v>45812</v>
      </c>
      <c r="D114" t="inlineStr">
        <is>
          <t>ÖREBRO LÄN</t>
        </is>
      </c>
      <c r="E114" t="inlineStr">
        <is>
          <t>LEKEBERG</t>
        </is>
      </c>
      <c r="G114" t="n">
        <v>2.8</v>
      </c>
      <c r="H114" t="n">
        <v>0</v>
      </c>
      <c r="I114" t="n">
        <v>0</v>
      </c>
      <c r="J114" t="n">
        <v>0</v>
      </c>
      <c r="K114" t="n">
        <v>0</v>
      </c>
      <c r="L114" t="n">
        <v>0</v>
      </c>
      <c r="M114" t="n">
        <v>0</v>
      </c>
      <c r="N114" t="n">
        <v>0</v>
      </c>
      <c r="O114" t="n">
        <v>0</v>
      </c>
      <c r="P114" t="n">
        <v>0</v>
      </c>
      <c r="Q114" t="n">
        <v>0</v>
      </c>
      <c r="R114" s="2" t="inlineStr"/>
    </row>
    <row r="115" ht="15" customHeight="1">
      <c r="A115" t="inlineStr">
        <is>
          <t>A 58380-2021</t>
        </is>
      </c>
      <c r="B115" s="1" t="n">
        <v>44488</v>
      </c>
      <c r="C115" s="1" t="n">
        <v>45812</v>
      </c>
      <c r="D115" t="inlineStr">
        <is>
          <t>ÖREBRO LÄN</t>
        </is>
      </c>
      <c r="E115" t="inlineStr">
        <is>
          <t>LEKEBERG</t>
        </is>
      </c>
      <c r="G115" t="n">
        <v>3.4</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45812</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59542-2021</t>
        </is>
      </c>
      <c r="B117" s="1" t="n">
        <v>44491</v>
      </c>
      <c r="C117" s="1" t="n">
        <v>45812</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63567-2021</t>
        </is>
      </c>
      <c r="B118" s="1" t="n">
        <v>44508</v>
      </c>
      <c r="C118" s="1" t="n">
        <v>45812</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64156-2021</t>
        </is>
      </c>
      <c r="B119" s="1" t="n">
        <v>44510</v>
      </c>
      <c r="C119" s="1" t="n">
        <v>45812</v>
      </c>
      <c r="D119" t="inlineStr">
        <is>
          <t>ÖREBRO LÄN</t>
        </is>
      </c>
      <c r="E119" t="inlineStr">
        <is>
          <t>LEKEBERG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65926-2021</t>
        </is>
      </c>
      <c r="B120" s="1" t="n">
        <v>44517</v>
      </c>
      <c r="C120" s="1" t="n">
        <v>45812</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66778-2021</t>
        </is>
      </c>
      <c r="B121" s="1" t="n">
        <v>44519</v>
      </c>
      <c r="C121" s="1" t="n">
        <v>45812</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67508-2021</t>
        </is>
      </c>
      <c r="B122" s="1" t="n">
        <v>44524</v>
      </c>
      <c r="C122" s="1" t="n">
        <v>45812</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2851-2022</t>
        </is>
      </c>
      <c r="B123" s="1" t="n">
        <v>44581</v>
      </c>
      <c r="C123" s="1" t="n">
        <v>45812</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4467-2022</t>
        </is>
      </c>
      <c r="B124" s="1" t="n">
        <v>44589</v>
      </c>
      <c r="C124" s="1" t="n">
        <v>45812</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4472-2022</t>
        </is>
      </c>
      <c r="B125" s="1" t="n">
        <v>44589</v>
      </c>
      <c r="C125" s="1" t="n">
        <v>45812</v>
      </c>
      <c r="D125" t="inlineStr">
        <is>
          <t>ÖREBRO LÄN</t>
        </is>
      </c>
      <c r="E125" t="inlineStr">
        <is>
          <t>LEKEBERG</t>
        </is>
      </c>
      <c r="G125" t="n">
        <v>4.9</v>
      </c>
      <c r="H125" t="n">
        <v>0</v>
      </c>
      <c r="I125" t="n">
        <v>0</v>
      </c>
      <c r="J125" t="n">
        <v>0</v>
      </c>
      <c r="K125" t="n">
        <v>0</v>
      </c>
      <c r="L125" t="n">
        <v>0</v>
      </c>
      <c r="M125" t="n">
        <v>0</v>
      </c>
      <c r="N125" t="n">
        <v>0</v>
      </c>
      <c r="O125" t="n">
        <v>0</v>
      </c>
      <c r="P125" t="n">
        <v>0</v>
      </c>
      <c r="Q125" t="n">
        <v>0</v>
      </c>
      <c r="R125" s="2" t="inlineStr"/>
    </row>
    <row r="126" ht="15" customHeight="1">
      <c r="A126" t="inlineStr">
        <is>
          <t>A 4470-2022</t>
        </is>
      </c>
      <c r="B126" s="1" t="n">
        <v>44589</v>
      </c>
      <c r="C126" s="1" t="n">
        <v>45812</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4468-2022</t>
        </is>
      </c>
      <c r="B127" s="1" t="n">
        <v>44589</v>
      </c>
      <c r="C127" s="1" t="n">
        <v>45812</v>
      </c>
      <c r="D127" t="inlineStr">
        <is>
          <t>ÖREBRO LÄN</t>
        </is>
      </c>
      <c r="E127" t="inlineStr">
        <is>
          <t>LEKEBERG</t>
        </is>
      </c>
      <c r="G127" t="n">
        <v>4.8</v>
      </c>
      <c r="H127" t="n">
        <v>0</v>
      </c>
      <c r="I127" t="n">
        <v>0</v>
      </c>
      <c r="J127" t="n">
        <v>0</v>
      </c>
      <c r="K127" t="n">
        <v>0</v>
      </c>
      <c r="L127" t="n">
        <v>0</v>
      </c>
      <c r="M127" t="n">
        <v>0</v>
      </c>
      <c r="N127" t="n">
        <v>0</v>
      </c>
      <c r="O127" t="n">
        <v>0</v>
      </c>
      <c r="P127" t="n">
        <v>0</v>
      </c>
      <c r="Q127" t="n">
        <v>0</v>
      </c>
      <c r="R127" s="2" t="inlineStr"/>
    </row>
    <row r="128" ht="15" customHeight="1">
      <c r="A128" t="inlineStr">
        <is>
          <t>A 5043-2022</t>
        </is>
      </c>
      <c r="B128" s="1" t="n">
        <v>44593</v>
      </c>
      <c r="C128" s="1" t="n">
        <v>45812</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6468-2022</t>
        </is>
      </c>
      <c r="B129" s="1" t="n">
        <v>44601</v>
      </c>
      <c r="C129" s="1" t="n">
        <v>45812</v>
      </c>
      <c r="D129" t="inlineStr">
        <is>
          <t>ÖREBRO LÄN</t>
        </is>
      </c>
      <c r="E129" t="inlineStr">
        <is>
          <t>LEKEBERG</t>
        </is>
      </c>
      <c r="G129" t="n">
        <v>3.2</v>
      </c>
      <c r="H129" t="n">
        <v>0</v>
      </c>
      <c r="I129" t="n">
        <v>0</v>
      </c>
      <c r="J129" t="n">
        <v>0</v>
      </c>
      <c r="K129" t="n">
        <v>0</v>
      </c>
      <c r="L129" t="n">
        <v>0</v>
      </c>
      <c r="M129" t="n">
        <v>0</v>
      </c>
      <c r="N129" t="n">
        <v>0</v>
      </c>
      <c r="O129" t="n">
        <v>0</v>
      </c>
      <c r="P129" t="n">
        <v>0</v>
      </c>
      <c r="Q129" t="n">
        <v>0</v>
      </c>
      <c r="R129" s="2" t="inlineStr"/>
    </row>
    <row r="130" ht="15" customHeight="1">
      <c r="A130" t="inlineStr">
        <is>
          <t>A 8050-2022</t>
        </is>
      </c>
      <c r="B130" s="1" t="n">
        <v>44609</v>
      </c>
      <c r="C130" s="1" t="n">
        <v>45812</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8047-2022</t>
        </is>
      </c>
      <c r="B131" s="1" t="n">
        <v>44609</v>
      </c>
      <c r="C131" s="1" t="n">
        <v>45812</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8217-2022</t>
        </is>
      </c>
      <c r="B132" s="1" t="n">
        <v>44609</v>
      </c>
      <c r="C132" s="1" t="n">
        <v>45812</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10617-2022</t>
        </is>
      </c>
      <c r="B133" s="1" t="n">
        <v>44624</v>
      </c>
      <c r="C133" s="1" t="n">
        <v>45812</v>
      </c>
      <c r="D133" t="inlineStr">
        <is>
          <t>ÖREBRO LÄN</t>
        </is>
      </c>
      <c r="E133" t="inlineStr">
        <is>
          <t>LEKEBERG</t>
        </is>
      </c>
      <c r="G133" t="n">
        <v>7.9</v>
      </c>
      <c r="H133" t="n">
        <v>0</v>
      </c>
      <c r="I133" t="n">
        <v>0</v>
      </c>
      <c r="J133" t="n">
        <v>0</v>
      </c>
      <c r="K133" t="n">
        <v>0</v>
      </c>
      <c r="L133" t="n">
        <v>0</v>
      </c>
      <c r="M133" t="n">
        <v>0</v>
      </c>
      <c r="N133" t="n">
        <v>0</v>
      </c>
      <c r="O133" t="n">
        <v>0</v>
      </c>
      <c r="P133" t="n">
        <v>0</v>
      </c>
      <c r="Q133" t="n">
        <v>0</v>
      </c>
      <c r="R133" s="2" t="inlineStr"/>
    </row>
    <row r="134" ht="15" customHeight="1">
      <c r="A134" t="inlineStr">
        <is>
          <t>A 11661-2022</t>
        </is>
      </c>
      <c r="B134" s="1" t="n">
        <v>44632</v>
      </c>
      <c r="C134" s="1" t="n">
        <v>45812</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14830-2022</t>
        </is>
      </c>
      <c r="B135" s="1" t="n">
        <v>44656</v>
      </c>
      <c r="C135" s="1" t="n">
        <v>45812</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16914-2022</t>
        </is>
      </c>
      <c r="B136" s="1" t="n">
        <v>44676</v>
      </c>
      <c r="C136" s="1" t="n">
        <v>45812</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20787-2022</t>
        </is>
      </c>
      <c r="B137" s="1" t="n">
        <v>44701</v>
      </c>
      <c r="C137" s="1" t="n">
        <v>45812</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45812</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23751-2022</t>
        </is>
      </c>
      <c r="B139" s="1" t="n">
        <v>44722</v>
      </c>
      <c r="C139" s="1" t="n">
        <v>45812</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23740-2022</t>
        </is>
      </c>
      <c r="B140" s="1" t="n">
        <v>44722</v>
      </c>
      <c r="C140" s="1" t="n">
        <v>45812</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26052-2022</t>
        </is>
      </c>
      <c r="B141" s="1" t="n">
        <v>44734</v>
      </c>
      <c r="C141" s="1" t="n">
        <v>45812</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28147-2022</t>
        </is>
      </c>
      <c r="B142" s="1" t="n">
        <v>44746</v>
      </c>
      <c r="C142" s="1" t="n">
        <v>45812</v>
      </c>
      <c r="D142" t="inlineStr">
        <is>
          <t>ÖREBRO LÄN</t>
        </is>
      </c>
      <c r="E142" t="inlineStr">
        <is>
          <t>LEKEBERG</t>
        </is>
      </c>
      <c r="G142" t="n">
        <v>1.4</v>
      </c>
      <c r="H142" t="n">
        <v>0</v>
      </c>
      <c r="I142" t="n">
        <v>0</v>
      </c>
      <c r="J142" t="n">
        <v>0</v>
      </c>
      <c r="K142" t="n">
        <v>0</v>
      </c>
      <c r="L142" t="n">
        <v>0</v>
      </c>
      <c r="M142" t="n">
        <v>0</v>
      </c>
      <c r="N142" t="n">
        <v>0</v>
      </c>
      <c r="O142" t="n">
        <v>0</v>
      </c>
      <c r="P142" t="n">
        <v>0</v>
      </c>
      <c r="Q142" t="n">
        <v>0</v>
      </c>
      <c r="R142" s="2" t="inlineStr"/>
    </row>
    <row r="143" ht="15" customHeight="1">
      <c r="A143" t="inlineStr">
        <is>
          <t>A 28616-2022</t>
        </is>
      </c>
      <c r="B143" s="1" t="n">
        <v>44748</v>
      </c>
      <c r="C143" s="1" t="n">
        <v>45812</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45812</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28564-2022</t>
        </is>
      </c>
      <c r="B145" s="1" t="n">
        <v>44748</v>
      </c>
      <c r="C145" s="1" t="n">
        <v>45812</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28608-2022</t>
        </is>
      </c>
      <c r="B146" s="1" t="n">
        <v>44748</v>
      </c>
      <c r="C146" s="1" t="n">
        <v>45812</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45812</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34885-2022</t>
        </is>
      </c>
      <c r="B148" s="1" t="n">
        <v>44796</v>
      </c>
      <c r="C148" s="1" t="n">
        <v>45812</v>
      </c>
      <c r="D148" t="inlineStr">
        <is>
          <t>ÖREBRO LÄN</t>
        </is>
      </c>
      <c r="E148" t="inlineStr">
        <is>
          <t>LEKEBERG</t>
        </is>
      </c>
      <c r="G148" t="n">
        <v>2.9</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v>
      </c>
      <c r="C149" s="1" t="n">
        <v>45812</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38325-2022</t>
        </is>
      </c>
      <c r="B150" s="1" t="n">
        <v>44812</v>
      </c>
      <c r="C150" s="1" t="n">
        <v>45812</v>
      </c>
      <c r="D150" t="inlineStr">
        <is>
          <t>ÖREBRO LÄN</t>
        </is>
      </c>
      <c r="E150" t="inlineStr">
        <is>
          <t>LEKEBERG</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38711-2022</t>
        </is>
      </c>
      <c r="B151" s="1" t="n">
        <v>44814</v>
      </c>
      <c r="C151" s="1" t="n">
        <v>45812</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45812</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41967-2022</t>
        </is>
      </c>
      <c r="B153" s="1" t="n">
        <v>44830</v>
      </c>
      <c r="C153" s="1" t="n">
        <v>45812</v>
      </c>
      <c r="D153" t="inlineStr">
        <is>
          <t>ÖREBRO LÄN</t>
        </is>
      </c>
      <c r="E153" t="inlineStr">
        <is>
          <t>LEKEBERG</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41979-2022</t>
        </is>
      </c>
      <c r="B154" s="1" t="n">
        <v>44830</v>
      </c>
      <c r="C154" s="1" t="n">
        <v>45812</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41977-2022</t>
        </is>
      </c>
      <c r="B155" s="1" t="n">
        <v>44830</v>
      </c>
      <c r="C155" s="1" t="n">
        <v>45812</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v>
      </c>
      <c r="C156" s="1" t="n">
        <v>45812</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45105-2022</t>
        </is>
      </c>
      <c r="B157" s="1" t="n">
        <v>44843</v>
      </c>
      <c r="C157" s="1" t="n">
        <v>45812</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46877-2022</t>
        </is>
      </c>
      <c r="B158" s="1" t="n">
        <v>44848</v>
      </c>
      <c r="C158" s="1" t="n">
        <v>45812</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50407-2022</t>
        </is>
      </c>
      <c r="B159" s="1" t="n">
        <v>44861</v>
      </c>
      <c r="C159" s="1" t="n">
        <v>45812</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50839-2022</t>
        </is>
      </c>
      <c r="B160" s="1" t="n">
        <v>44867</v>
      </c>
      <c r="C160" s="1" t="n">
        <v>45812</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45812</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60336-2022</t>
        </is>
      </c>
      <c r="B162" s="1" t="n">
        <v>44910</v>
      </c>
      <c r="C162" s="1" t="n">
        <v>45812</v>
      </c>
      <c r="D162" t="inlineStr">
        <is>
          <t>ÖREBRO LÄN</t>
        </is>
      </c>
      <c r="E162" t="inlineStr">
        <is>
          <t>LEKEBERG</t>
        </is>
      </c>
      <c r="F162" t="inlineStr">
        <is>
          <t>Allmännings- och besparingsskogar</t>
        </is>
      </c>
      <c r="G162" t="n">
        <v>14.8</v>
      </c>
      <c r="H162" t="n">
        <v>0</v>
      </c>
      <c r="I162" t="n">
        <v>0</v>
      </c>
      <c r="J162" t="n">
        <v>0</v>
      </c>
      <c r="K162" t="n">
        <v>0</v>
      </c>
      <c r="L162" t="n">
        <v>0</v>
      </c>
      <c r="M162" t="n">
        <v>0</v>
      </c>
      <c r="N162" t="n">
        <v>0</v>
      </c>
      <c r="O162" t="n">
        <v>0</v>
      </c>
      <c r="P162" t="n">
        <v>0</v>
      </c>
      <c r="Q162" t="n">
        <v>0</v>
      </c>
      <c r="R162" s="2" t="inlineStr"/>
    </row>
    <row r="163" ht="15" customHeight="1">
      <c r="A163" t="inlineStr">
        <is>
          <t>A 61492-2022</t>
        </is>
      </c>
      <c r="B163" s="1" t="n">
        <v>44916</v>
      </c>
      <c r="C163" s="1" t="n">
        <v>45812</v>
      </c>
      <c r="D163" t="inlineStr">
        <is>
          <t>ÖREBRO LÄN</t>
        </is>
      </c>
      <c r="E163" t="inlineStr">
        <is>
          <t>LEKEBERG</t>
        </is>
      </c>
      <c r="G163" t="n">
        <v>5.9</v>
      </c>
      <c r="H163" t="n">
        <v>0</v>
      </c>
      <c r="I163" t="n">
        <v>0</v>
      </c>
      <c r="J163" t="n">
        <v>0</v>
      </c>
      <c r="K163" t="n">
        <v>0</v>
      </c>
      <c r="L163" t="n">
        <v>0</v>
      </c>
      <c r="M163" t="n">
        <v>0</v>
      </c>
      <c r="N163" t="n">
        <v>0</v>
      </c>
      <c r="O163" t="n">
        <v>0</v>
      </c>
      <c r="P163" t="n">
        <v>0</v>
      </c>
      <c r="Q163" t="n">
        <v>0</v>
      </c>
      <c r="R163" s="2" t="inlineStr"/>
    </row>
    <row r="164" ht="15" customHeight="1">
      <c r="A164" t="inlineStr">
        <is>
          <t>A 62691-2022</t>
        </is>
      </c>
      <c r="B164" s="1" t="n">
        <v>44925</v>
      </c>
      <c r="C164" s="1" t="n">
        <v>45812</v>
      </c>
      <c r="D164" t="inlineStr">
        <is>
          <t>ÖREBRO LÄN</t>
        </is>
      </c>
      <c r="E164" t="inlineStr">
        <is>
          <t>LEKEBERG</t>
        </is>
      </c>
      <c r="G164" t="n">
        <v>0.7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45812</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3602-2023</t>
        </is>
      </c>
      <c r="B166" s="1" t="n">
        <v>44950</v>
      </c>
      <c r="C166" s="1" t="n">
        <v>45812</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3643-2023</t>
        </is>
      </c>
      <c r="B167" s="1" t="n">
        <v>44950</v>
      </c>
      <c r="C167" s="1" t="n">
        <v>45812</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3641-2023</t>
        </is>
      </c>
      <c r="B168" s="1" t="n">
        <v>44950</v>
      </c>
      <c r="C168" s="1" t="n">
        <v>45812</v>
      </c>
      <c r="D168" t="inlineStr">
        <is>
          <t>ÖREBRO LÄN</t>
        </is>
      </c>
      <c r="E168" t="inlineStr">
        <is>
          <t>LEKEBERG</t>
        </is>
      </c>
      <c r="G168" t="n">
        <v>9.4</v>
      </c>
      <c r="H168" t="n">
        <v>0</v>
      </c>
      <c r="I168" t="n">
        <v>0</v>
      </c>
      <c r="J168" t="n">
        <v>0</v>
      </c>
      <c r="K168" t="n">
        <v>0</v>
      </c>
      <c r="L168" t="n">
        <v>0</v>
      </c>
      <c r="M168" t="n">
        <v>0</v>
      </c>
      <c r="N168" t="n">
        <v>0</v>
      </c>
      <c r="O168" t="n">
        <v>0</v>
      </c>
      <c r="P168" t="n">
        <v>0</v>
      </c>
      <c r="Q168" t="n">
        <v>0</v>
      </c>
      <c r="R168" s="2" t="inlineStr"/>
    </row>
    <row r="169" ht="15" customHeight="1">
      <c r="A169" t="inlineStr">
        <is>
          <t>A 3801-2023</t>
        </is>
      </c>
      <c r="B169" s="1" t="n">
        <v>44951</v>
      </c>
      <c r="C169" s="1" t="n">
        <v>45812</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3808-2023</t>
        </is>
      </c>
      <c r="B170" s="1" t="n">
        <v>44951</v>
      </c>
      <c r="C170" s="1" t="n">
        <v>45812</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3859-2023</t>
        </is>
      </c>
      <c r="B171" s="1" t="n">
        <v>44951</v>
      </c>
      <c r="C171" s="1" t="n">
        <v>45812</v>
      </c>
      <c r="D171" t="inlineStr">
        <is>
          <t>ÖREBRO LÄN</t>
        </is>
      </c>
      <c r="E171" t="inlineStr">
        <is>
          <t>LEKEBERG</t>
        </is>
      </c>
      <c r="G171" t="n">
        <v>3.2</v>
      </c>
      <c r="H171" t="n">
        <v>0</v>
      </c>
      <c r="I171" t="n">
        <v>0</v>
      </c>
      <c r="J171" t="n">
        <v>0</v>
      </c>
      <c r="K171" t="n">
        <v>0</v>
      </c>
      <c r="L171" t="n">
        <v>0</v>
      </c>
      <c r="M171" t="n">
        <v>0</v>
      </c>
      <c r="N171" t="n">
        <v>0</v>
      </c>
      <c r="O171" t="n">
        <v>0</v>
      </c>
      <c r="P171" t="n">
        <v>0</v>
      </c>
      <c r="Q171" t="n">
        <v>0</v>
      </c>
      <c r="R171" s="2" t="inlineStr"/>
    </row>
    <row r="172" ht="15" customHeight="1">
      <c r="A172" t="inlineStr">
        <is>
          <t>A 7200-2023</t>
        </is>
      </c>
      <c r="B172" s="1" t="n">
        <v>44965</v>
      </c>
      <c r="C172" s="1" t="n">
        <v>45812</v>
      </c>
      <c r="D172" t="inlineStr">
        <is>
          <t>ÖREBRO LÄN</t>
        </is>
      </c>
      <c r="E172" t="inlineStr">
        <is>
          <t>LEKEBERG</t>
        </is>
      </c>
      <c r="G172" t="n">
        <v>1.4</v>
      </c>
      <c r="H172" t="n">
        <v>0</v>
      </c>
      <c r="I172" t="n">
        <v>0</v>
      </c>
      <c r="J172" t="n">
        <v>0</v>
      </c>
      <c r="K172" t="n">
        <v>0</v>
      </c>
      <c r="L172" t="n">
        <v>0</v>
      </c>
      <c r="M172" t="n">
        <v>0</v>
      </c>
      <c r="N172" t="n">
        <v>0</v>
      </c>
      <c r="O172" t="n">
        <v>0</v>
      </c>
      <c r="P172" t="n">
        <v>0</v>
      </c>
      <c r="Q172" t="n">
        <v>0</v>
      </c>
      <c r="R172" s="2" t="inlineStr"/>
    </row>
    <row r="173" ht="15" customHeight="1">
      <c r="A173" t="inlineStr">
        <is>
          <t>A 7202-2023</t>
        </is>
      </c>
      <c r="B173" s="1" t="n">
        <v>44965</v>
      </c>
      <c r="C173" s="1" t="n">
        <v>45812</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7363-2023</t>
        </is>
      </c>
      <c r="B174" s="1" t="n">
        <v>44971</v>
      </c>
      <c r="C174" s="1" t="n">
        <v>45812</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7424-2023</t>
        </is>
      </c>
      <c r="B175" s="1" t="n">
        <v>44971</v>
      </c>
      <c r="C175" s="1" t="n">
        <v>45812</v>
      </c>
      <c r="D175" t="inlineStr">
        <is>
          <t>ÖREBRO LÄN</t>
        </is>
      </c>
      <c r="E175" t="inlineStr">
        <is>
          <t>LEKEBERG</t>
        </is>
      </c>
      <c r="G175" t="n">
        <v>1.3</v>
      </c>
      <c r="H175" t="n">
        <v>0</v>
      </c>
      <c r="I175" t="n">
        <v>0</v>
      </c>
      <c r="J175" t="n">
        <v>0</v>
      </c>
      <c r="K175" t="n">
        <v>0</v>
      </c>
      <c r="L175" t="n">
        <v>0</v>
      </c>
      <c r="M175" t="n">
        <v>0</v>
      </c>
      <c r="N175" t="n">
        <v>0</v>
      </c>
      <c r="O175" t="n">
        <v>0</v>
      </c>
      <c r="P175" t="n">
        <v>0</v>
      </c>
      <c r="Q175" t="n">
        <v>0</v>
      </c>
      <c r="R175" s="2" t="inlineStr"/>
    </row>
    <row r="176" ht="15" customHeight="1">
      <c r="A176" t="inlineStr">
        <is>
          <t>A 10273-2023</t>
        </is>
      </c>
      <c r="B176" s="1" t="n">
        <v>44986</v>
      </c>
      <c r="C176" s="1" t="n">
        <v>45812</v>
      </c>
      <c r="D176" t="inlineStr">
        <is>
          <t>ÖREBRO LÄN</t>
        </is>
      </c>
      <c r="E176" t="inlineStr">
        <is>
          <t>LEKEBERG</t>
        </is>
      </c>
      <c r="G176" t="n">
        <v>12.8</v>
      </c>
      <c r="H176" t="n">
        <v>0</v>
      </c>
      <c r="I176" t="n">
        <v>0</v>
      </c>
      <c r="J176" t="n">
        <v>0</v>
      </c>
      <c r="K176" t="n">
        <v>0</v>
      </c>
      <c r="L176" t="n">
        <v>0</v>
      </c>
      <c r="M176" t="n">
        <v>0</v>
      </c>
      <c r="N176" t="n">
        <v>0</v>
      </c>
      <c r="O176" t="n">
        <v>0</v>
      </c>
      <c r="P176" t="n">
        <v>0</v>
      </c>
      <c r="Q176" t="n">
        <v>0</v>
      </c>
      <c r="R176" s="2" t="inlineStr"/>
    </row>
    <row r="177" ht="15" customHeight="1">
      <c r="A177" t="inlineStr">
        <is>
          <t>A 10274-2023</t>
        </is>
      </c>
      <c r="B177" s="1" t="n">
        <v>44986</v>
      </c>
      <c r="C177" s="1" t="n">
        <v>45812</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10271-2023</t>
        </is>
      </c>
      <c r="B178" s="1" t="n">
        <v>44986</v>
      </c>
      <c r="C178" s="1" t="n">
        <v>45812</v>
      </c>
      <c r="D178" t="inlineStr">
        <is>
          <t>ÖREBRO LÄN</t>
        </is>
      </c>
      <c r="E178" t="inlineStr">
        <is>
          <t>LEKEBERG</t>
        </is>
      </c>
      <c r="G178" t="n">
        <v>4.5</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45812</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10747-2023</t>
        </is>
      </c>
      <c r="B180" s="1" t="n">
        <v>44988</v>
      </c>
      <c r="C180" s="1" t="n">
        <v>45812</v>
      </c>
      <c r="D180" t="inlineStr">
        <is>
          <t>ÖREBRO LÄN</t>
        </is>
      </c>
      <c r="E180" t="inlineStr">
        <is>
          <t>LEKEBERG</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10791-2023</t>
        </is>
      </c>
      <c r="B181" s="1" t="n">
        <v>44989</v>
      </c>
      <c r="C181" s="1" t="n">
        <v>45812</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10787-2023</t>
        </is>
      </c>
      <c r="B182" s="1" t="n">
        <v>44989</v>
      </c>
      <c r="C182" s="1" t="n">
        <v>45812</v>
      </c>
      <c r="D182" t="inlineStr">
        <is>
          <t>ÖREBRO LÄN</t>
        </is>
      </c>
      <c r="E182" t="inlineStr">
        <is>
          <t>LEKEBERG</t>
        </is>
      </c>
      <c r="G182" t="n">
        <v>5</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45812</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11360-2023</t>
        </is>
      </c>
      <c r="B184" s="1" t="n">
        <v>44993</v>
      </c>
      <c r="C184" s="1" t="n">
        <v>45812</v>
      </c>
      <c r="D184" t="inlineStr">
        <is>
          <t>ÖREBRO LÄN</t>
        </is>
      </c>
      <c r="E184" t="inlineStr">
        <is>
          <t>LEKEBERG</t>
        </is>
      </c>
      <c r="G184" t="n">
        <v>10.8</v>
      </c>
      <c r="H184" t="n">
        <v>0</v>
      </c>
      <c r="I184" t="n">
        <v>0</v>
      </c>
      <c r="J184" t="n">
        <v>0</v>
      </c>
      <c r="K184" t="n">
        <v>0</v>
      </c>
      <c r="L184" t="n">
        <v>0</v>
      </c>
      <c r="M184" t="n">
        <v>0</v>
      </c>
      <c r="N184" t="n">
        <v>0</v>
      </c>
      <c r="O184" t="n">
        <v>0</v>
      </c>
      <c r="P184" t="n">
        <v>0</v>
      </c>
      <c r="Q184" t="n">
        <v>0</v>
      </c>
      <c r="R184" s="2" t="inlineStr"/>
    </row>
    <row r="185" ht="15" customHeight="1">
      <c r="A185" t="inlineStr">
        <is>
          <t>A 11390-2023</t>
        </is>
      </c>
      <c r="B185" s="1" t="n">
        <v>44993</v>
      </c>
      <c r="C185" s="1" t="n">
        <v>45812</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11379-2023</t>
        </is>
      </c>
      <c r="B186" s="1" t="n">
        <v>44993</v>
      </c>
      <c r="C186" s="1" t="n">
        <v>45812</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11383-2023</t>
        </is>
      </c>
      <c r="B187" s="1" t="n">
        <v>44993</v>
      </c>
      <c r="C187" s="1" t="n">
        <v>45812</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11794-2023</t>
        </is>
      </c>
      <c r="B188" s="1" t="n">
        <v>44994</v>
      </c>
      <c r="C188" s="1" t="n">
        <v>45812</v>
      </c>
      <c r="D188" t="inlineStr">
        <is>
          <t>ÖREBRO LÄN</t>
        </is>
      </c>
      <c r="E188" t="inlineStr">
        <is>
          <t>LEKEBERG</t>
        </is>
      </c>
      <c r="G188" t="n">
        <v>7.6</v>
      </c>
      <c r="H188" t="n">
        <v>0</v>
      </c>
      <c r="I188" t="n">
        <v>0</v>
      </c>
      <c r="J188" t="n">
        <v>0</v>
      </c>
      <c r="K188" t="n">
        <v>0</v>
      </c>
      <c r="L188" t="n">
        <v>0</v>
      </c>
      <c r="M188" t="n">
        <v>0</v>
      </c>
      <c r="N188" t="n">
        <v>0</v>
      </c>
      <c r="O188" t="n">
        <v>0</v>
      </c>
      <c r="P188" t="n">
        <v>0</v>
      </c>
      <c r="Q188" t="n">
        <v>0</v>
      </c>
      <c r="R188" s="2" t="inlineStr"/>
    </row>
    <row r="189" ht="15" customHeight="1">
      <c r="A189" t="inlineStr">
        <is>
          <t>A 12145-2023</t>
        </is>
      </c>
      <c r="B189" s="1" t="n">
        <v>44998</v>
      </c>
      <c r="C189" s="1" t="n">
        <v>45812</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12140-2023</t>
        </is>
      </c>
      <c r="B190" s="1" t="n">
        <v>44998</v>
      </c>
      <c r="C190" s="1" t="n">
        <v>45812</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12961-2023</t>
        </is>
      </c>
      <c r="B191" s="1" t="n">
        <v>45001</v>
      </c>
      <c r="C191" s="1" t="n">
        <v>45812</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45812</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12960-2023</t>
        </is>
      </c>
      <c r="B193" s="1" t="n">
        <v>45001</v>
      </c>
      <c r="C193" s="1" t="n">
        <v>45812</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13327-2023</t>
        </is>
      </c>
      <c r="B194" s="1" t="n">
        <v>45005</v>
      </c>
      <c r="C194" s="1" t="n">
        <v>45812</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45812</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15770-2023</t>
        </is>
      </c>
      <c r="B196" s="1" t="n">
        <v>45021</v>
      </c>
      <c r="C196" s="1" t="n">
        <v>45812</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16018-2023</t>
        </is>
      </c>
      <c r="B197" s="1" t="n">
        <v>45026</v>
      </c>
      <c r="C197" s="1" t="n">
        <v>45812</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16970-2023</t>
        </is>
      </c>
      <c r="B198" s="1" t="n">
        <v>45033</v>
      </c>
      <c r="C198" s="1" t="n">
        <v>45812</v>
      </c>
      <c r="D198" t="inlineStr">
        <is>
          <t>ÖREBRO LÄN</t>
        </is>
      </c>
      <c r="E198" t="inlineStr">
        <is>
          <t>LEKEBERG</t>
        </is>
      </c>
      <c r="G198" t="n">
        <v>15.9</v>
      </c>
      <c r="H198" t="n">
        <v>0</v>
      </c>
      <c r="I198" t="n">
        <v>0</v>
      </c>
      <c r="J198" t="n">
        <v>0</v>
      </c>
      <c r="K198" t="n">
        <v>0</v>
      </c>
      <c r="L198" t="n">
        <v>0</v>
      </c>
      <c r="M198" t="n">
        <v>0</v>
      </c>
      <c r="N198" t="n">
        <v>0</v>
      </c>
      <c r="O198" t="n">
        <v>0</v>
      </c>
      <c r="P198" t="n">
        <v>0</v>
      </c>
      <c r="Q198" t="n">
        <v>0</v>
      </c>
      <c r="R198" s="2" t="inlineStr"/>
    </row>
    <row r="199" ht="15" customHeight="1">
      <c r="A199" t="inlineStr">
        <is>
          <t>A 17625-2023</t>
        </is>
      </c>
      <c r="B199" s="1" t="n">
        <v>45036</v>
      </c>
      <c r="C199" s="1" t="n">
        <v>45812</v>
      </c>
      <c r="D199" t="inlineStr">
        <is>
          <t>ÖREBRO LÄN</t>
        </is>
      </c>
      <c r="E199" t="inlineStr">
        <is>
          <t>LEKEBERG</t>
        </is>
      </c>
      <c r="G199" t="n">
        <v>1.4</v>
      </c>
      <c r="H199" t="n">
        <v>0</v>
      </c>
      <c r="I199" t="n">
        <v>0</v>
      </c>
      <c r="J199" t="n">
        <v>0</v>
      </c>
      <c r="K199" t="n">
        <v>0</v>
      </c>
      <c r="L199" t="n">
        <v>0</v>
      </c>
      <c r="M199" t="n">
        <v>0</v>
      </c>
      <c r="N199" t="n">
        <v>0</v>
      </c>
      <c r="O199" t="n">
        <v>0</v>
      </c>
      <c r="P199" t="n">
        <v>0</v>
      </c>
      <c r="Q199" t="n">
        <v>0</v>
      </c>
      <c r="R199" s="2" t="inlineStr"/>
    </row>
    <row r="200" ht="15" customHeight="1">
      <c r="A200" t="inlineStr">
        <is>
          <t>A 17812-2023</t>
        </is>
      </c>
      <c r="B200" s="1" t="n">
        <v>45037</v>
      </c>
      <c r="C200" s="1" t="n">
        <v>45812</v>
      </c>
      <c r="D200" t="inlineStr">
        <is>
          <t>ÖREBRO LÄN</t>
        </is>
      </c>
      <c r="E200" t="inlineStr">
        <is>
          <t>LEKEBERG</t>
        </is>
      </c>
      <c r="G200" t="n">
        <v>1.6</v>
      </c>
      <c r="H200" t="n">
        <v>0</v>
      </c>
      <c r="I200" t="n">
        <v>0</v>
      </c>
      <c r="J200" t="n">
        <v>0</v>
      </c>
      <c r="K200" t="n">
        <v>0</v>
      </c>
      <c r="L200" t="n">
        <v>0</v>
      </c>
      <c r="M200" t="n">
        <v>0</v>
      </c>
      <c r="N200" t="n">
        <v>0</v>
      </c>
      <c r="O200" t="n">
        <v>0</v>
      </c>
      <c r="P200" t="n">
        <v>0</v>
      </c>
      <c r="Q200" t="n">
        <v>0</v>
      </c>
      <c r="R200" s="2" t="inlineStr"/>
    </row>
    <row r="201" ht="15" customHeight="1">
      <c r="A201" t="inlineStr">
        <is>
          <t>A 18270-2023</t>
        </is>
      </c>
      <c r="B201" s="1" t="n">
        <v>45041</v>
      </c>
      <c r="C201" s="1" t="n">
        <v>45812</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18269-2023</t>
        </is>
      </c>
      <c r="B202" s="1" t="n">
        <v>45041</v>
      </c>
      <c r="C202" s="1" t="n">
        <v>45812</v>
      </c>
      <c r="D202" t="inlineStr">
        <is>
          <t>ÖREBRO LÄN</t>
        </is>
      </c>
      <c r="E202" t="inlineStr">
        <is>
          <t>LEKEBERG</t>
        </is>
      </c>
      <c r="G202" t="n">
        <v>2.3</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v>
      </c>
      <c r="C203" s="1" t="n">
        <v>45812</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18381-2023</t>
        </is>
      </c>
      <c r="B204" s="1" t="n">
        <v>45042</v>
      </c>
      <c r="C204" s="1" t="n">
        <v>45812</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18474-2023</t>
        </is>
      </c>
      <c r="B205" s="1" t="n">
        <v>45042</v>
      </c>
      <c r="C205" s="1" t="n">
        <v>45812</v>
      </c>
      <c r="D205" t="inlineStr">
        <is>
          <t>ÖREBRO LÄN</t>
        </is>
      </c>
      <c r="E205" t="inlineStr">
        <is>
          <t>LEKEBERG</t>
        </is>
      </c>
      <c r="G205" t="n">
        <v>3.2</v>
      </c>
      <c r="H205" t="n">
        <v>0</v>
      </c>
      <c r="I205" t="n">
        <v>0</v>
      </c>
      <c r="J205" t="n">
        <v>0</v>
      </c>
      <c r="K205" t="n">
        <v>0</v>
      </c>
      <c r="L205" t="n">
        <v>0</v>
      </c>
      <c r="M205" t="n">
        <v>0</v>
      </c>
      <c r="N205" t="n">
        <v>0</v>
      </c>
      <c r="O205" t="n">
        <v>0</v>
      </c>
      <c r="P205" t="n">
        <v>0</v>
      </c>
      <c r="Q205" t="n">
        <v>0</v>
      </c>
      <c r="R205" s="2" t="inlineStr"/>
      <c r="U205">
        <f>HYPERLINK("https://klasma.github.io/Logging_1814/knärot/A 18474-2023 karta knärot.png", "A 18474-2023")</f>
        <v/>
      </c>
      <c r="V205">
        <f>HYPERLINK("https://klasma.github.io/Logging_1814/klagomål/A 18474-2023 FSC-klagomål.docx", "A 18474-2023")</f>
        <v/>
      </c>
      <c r="W205">
        <f>HYPERLINK("https://klasma.github.io/Logging_1814/klagomålsmail/A 18474-2023 FSC-klagomål mail.docx", "A 18474-2023")</f>
        <v/>
      </c>
      <c r="X205">
        <f>HYPERLINK("https://klasma.github.io/Logging_1814/tillsyn/A 18474-2023 tillsynsbegäran.docx", "A 18474-2023")</f>
        <v/>
      </c>
      <c r="Y205">
        <f>HYPERLINK("https://klasma.github.io/Logging_1814/tillsynsmail/A 18474-2023 tillsynsbegäran mail.docx", "A 18474-2023")</f>
        <v/>
      </c>
    </row>
    <row r="206" ht="15" customHeight="1">
      <c r="A206" t="inlineStr">
        <is>
          <t>A 18645-2023</t>
        </is>
      </c>
      <c r="B206" s="1" t="n">
        <v>45043</v>
      </c>
      <c r="C206" s="1" t="n">
        <v>45812</v>
      </c>
      <c r="D206" t="inlineStr">
        <is>
          <t>ÖREBRO LÄN</t>
        </is>
      </c>
      <c r="E206" t="inlineStr">
        <is>
          <t>LEKEBERG</t>
        </is>
      </c>
      <c r="G206" t="n">
        <v>1.8</v>
      </c>
      <c r="H206" t="n">
        <v>0</v>
      </c>
      <c r="I206" t="n">
        <v>0</v>
      </c>
      <c r="J206" t="n">
        <v>0</v>
      </c>
      <c r="K206" t="n">
        <v>0</v>
      </c>
      <c r="L206" t="n">
        <v>0</v>
      </c>
      <c r="M206" t="n">
        <v>0</v>
      </c>
      <c r="N206" t="n">
        <v>0</v>
      </c>
      <c r="O206" t="n">
        <v>0</v>
      </c>
      <c r="P206" t="n">
        <v>0</v>
      </c>
      <c r="Q206" t="n">
        <v>0</v>
      </c>
      <c r="R206" s="2" t="inlineStr"/>
    </row>
    <row r="207" ht="15" customHeight="1">
      <c r="A207" t="inlineStr">
        <is>
          <t>A 19037-2023</t>
        </is>
      </c>
      <c r="B207" s="1" t="n">
        <v>45047</v>
      </c>
      <c r="C207" s="1" t="n">
        <v>45812</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19044-2023</t>
        </is>
      </c>
      <c r="B208" s="1" t="n">
        <v>45047</v>
      </c>
      <c r="C208" s="1" t="n">
        <v>45812</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19045-2023</t>
        </is>
      </c>
      <c r="B209" s="1" t="n">
        <v>45047</v>
      </c>
      <c r="C209" s="1" t="n">
        <v>45812</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19443-2023</t>
        </is>
      </c>
      <c r="B210" s="1" t="n">
        <v>45050</v>
      </c>
      <c r="C210" s="1" t="n">
        <v>45812</v>
      </c>
      <c r="D210" t="inlineStr">
        <is>
          <t>ÖREBRO LÄN</t>
        </is>
      </c>
      <c r="E210" t="inlineStr">
        <is>
          <t>LEKEBERG</t>
        </is>
      </c>
      <c r="G210" t="n">
        <v>3.7</v>
      </c>
      <c r="H210" t="n">
        <v>0</v>
      </c>
      <c r="I210" t="n">
        <v>0</v>
      </c>
      <c r="J210" t="n">
        <v>0</v>
      </c>
      <c r="K210" t="n">
        <v>0</v>
      </c>
      <c r="L210" t="n">
        <v>0</v>
      </c>
      <c r="M210" t="n">
        <v>0</v>
      </c>
      <c r="N210" t="n">
        <v>0</v>
      </c>
      <c r="O210" t="n">
        <v>0</v>
      </c>
      <c r="P210" t="n">
        <v>0</v>
      </c>
      <c r="Q210" t="n">
        <v>0</v>
      </c>
      <c r="R210" s="2" t="inlineStr"/>
    </row>
    <row r="211" ht="15" customHeight="1">
      <c r="A211" t="inlineStr">
        <is>
          <t>A 19955-2023</t>
        </is>
      </c>
      <c r="B211" s="1" t="n">
        <v>45054</v>
      </c>
      <c r="C211" s="1" t="n">
        <v>45812</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20344-2023</t>
        </is>
      </c>
      <c r="B212" s="1" t="n">
        <v>45056</v>
      </c>
      <c r="C212" s="1" t="n">
        <v>45812</v>
      </c>
      <c r="D212" t="inlineStr">
        <is>
          <t>ÖREBRO LÄN</t>
        </is>
      </c>
      <c r="E212" t="inlineStr">
        <is>
          <t>LEKEBERG</t>
        </is>
      </c>
      <c r="G212" t="n">
        <v>2.2</v>
      </c>
      <c r="H212" t="n">
        <v>0</v>
      </c>
      <c r="I212" t="n">
        <v>0</v>
      </c>
      <c r="J212" t="n">
        <v>0</v>
      </c>
      <c r="K212" t="n">
        <v>0</v>
      </c>
      <c r="L212" t="n">
        <v>0</v>
      </c>
      <c r="M212" t="n">
        <v>0</v>
      </c>
      <c r="N212" t="n">
        <v>0</v>
      </c>
      <c r="O212" t="n">
        <v>0</v>
      </c>
      <c r="P212" t="n">
        <v>0</v>
      </c>
      <c r="Q212" t="n">
        <v>0</v>
      </c>
      <c r="R212" s="2" t="inlineStr"/>
    </row>
    <row r="213" ht="15" customHeight="1">
      <c r="A213" t="inlineStr">
        <is>
          <t>A 21042-2023</t>
        </is>
      </c>
      <c r="B213" s="1" t="n">
        <v>45056</v>
      </c>
      <c r="C213" s="1" t="n">
        <v>45812</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21864-2023</t>
        </is>
      </c>
      <c r="B214" s="1" t="n">
        <v>45068</v>
      </c>
      <c r="C214" s="1" t="n">
        <v>45812</v>
      </c>
      <c r="D214" t="inlineStr">
        <is>
          <t>ÖREBRO LÄN</t>
        </is>
      </c>
      <c r="E214" t="inlineStr">
        <is>
          <t>LEKEBERG</t>
        </is>
      </c>
      <c r="G214" t="n">
        <v>4</v>
      </c>
      <c r="H214" t="n">
        <v>0</v>
      </c>
      <c r="I214" t="n">
        <v>0</v>
      </c>
      <c r="J214" t="n">
        <v>0</v>
      </c>
      <c r="K214" t="n">
        <v>0</v>
      </c>
      <c r="L214" t="n">
        <v>0</v>
      </c>
      <c r="M214" t="n">
        <v>0</v>
      </c>
      <c r="N214" t="n">
        <v>0</v>
      </c>
      <c r="O214" t="n">
        <v>0</v>
      </c>
      <c r="P214" t="n">
        <v>0</v>
      </c>
      <c r="Q214" t="n">
        <v>0</v>
      </c>
      <c r="R214" s="2" t="inlineStr"/>
    </row>
    <row r="215" ht="15" customHeight="1">
      <c r="A215" t="inlineStr">
        <is>
          <t>A 21836-2023</t>
        </is>
      </c>
      <c r="B215" s="1" t="n">
        <v>45068</v>
      </c>
      <c r="C215" s="1" t="n">
        <v>45812</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ht="15" customHeight="1">
      <c r="A216" t="inlineStr">
        <is>
          <t>A 21886-2023</t>
        </is>
      </c>
      <c r="B216" s="1" t="n">
        <v>45068</v>
      </c>
      <c r="C216" s="1" t="n">
        <v>45812</v>
      </c>
      <c r="D216" t="inlineStr">
        <is>
          <t>ÖREBRO LÄN</t>
        </is>
      </c>
      <c r="E216" t="inlineStr">
        <is>
          <t>LEKEBERG</t>
        </is>
      </c>
      <c r="G216" t="n">
        <v>2.4</v>
      </c>
      <c r="H216" t="n">
        <v>0</v>
      </c>
      <c r="I216" t="n">
        <v>0</v>
      </c>
      <c r="J216" t="n">
        <v>0</v>
      </c>
      <c r="K216" t="n">
        <v>0</v>
      </c>
      <c r="L216" t="n">
        <v>0</v>
      </c>
      <c r="M216" t="n">
        <v>0</v>
      </c>
      <c r="N216" t="n">
        <v>0</v>
      </c>
      <c r="O216" t="n">
        <v>0</v>
      </c>
      <c r="P216" t="n">
        <v>0</v>
      </c>
      <c r="Q216" t="n">
        <v>0</v>
      </c>
      <c r="R216" s="2" t="inlineStr"/>
    </row>
    <row r="217" ht="15" customHeight="1">
      <c r="A217" t="inlineStr">
        <is>
          <t>A 22323-2023</t>
        </is>
      </c>
      <c r="B217" s="1" t="n">
        <v>45068</v>
      </c>
      <c r="C217" s="1" t="n">
        <v>45812</v>
      </c>
      <c r="D217" t="inlineStr">
        <is>
          <t>ÖREBRO LÄN</t>
        </is>
      </c>
      <c r="E217" t="inlineStr">
        <is>
          <t>LEKEBERG</t>
        </is>
      </c>
      <c r="G217" t="n">
        <v>1.8</v>
      </c>
      <c r="H217" t="n">
        <v>0</v>
      </c>
      <c r="I217" t="n">
        <v>0</v>
      </c>
      <c r="J217" t="n">
        <v>0</v>
      </c>
      <c r="K217" t="n">
        <v>0</v>
      </c>
      <c r="L217" t="n">
        <v>0</v>
      </c>
      <c r="M217" t="n">
        <v>0</v>
      </c>
      <c r="N217" t="n">
        <v>0</v>
      </c>
      <c r="O217" t="n">
        <v>0</v>
      </c>
      <c r="P217" t="n">
        <v>0</v>
      </c>
      <c r="Q217" t="n">
        <v>0</v>
      </c>
      <c r="R217" s="2" t="inlineStr"/>
    </row>
    <row r="218" ht="15" customHeight="1">
      <c r="A218" t="inlineStr">
        <is>
          <t>A 22126-2023</t>
        </is>
      </c>
      <c r="B218" s="1" t="n">
        <v>45069</v>
      </c>
      <c r="C218" s="1" t="n">
        <v>45812</v>
      </c>
      <c r="D218" t="inlineStr">
        <is>
          <t>ÖREBRO LÄN</t>
        </is>
      </c>
      <c r="E218" t="inlineStr">
        <is>
          <t>LEKEBERG</t>
        </is>
      </c>
      <c r="G218" t="n">
        <v>2.3</v>
      </c>
      <c r="H218" t="n">
        <v>0</v>
      </c>
      <c r="I218" t="n">
        <v>0</v>
      </c>
      <c r="J218" t="n">
        <v>0</v>
      </c>
      <c r="K218" t="n">
        <v>0</v>
      </c>
      <c r="L218" t="n">
        <v>0</v>
      </c>
      <c r="M218" t="n">
        <v>0</v>
      </c>
      <c r="N218" t="n">
        <v>0</v>
      </c>
      <c r="O218" t="n">
        <v>0</v>
      </c>
      <c r="P218" t="n">
        <v>0</v>
      </c>
      <c r="Q218" t="n">
        <v>0</v>
      </c>
      <c r="R218" s="2" t="inlineStr"/>
    </row>
    <row r="219" ht="15" customHeight="1">
      <c r="A219" t="inlineStr">
        <is>
          <t>A 22198-2023</t>
        </is>
      </c>
      <c r="B219" s="1" t="n">
        <v>45069</v>
      </c>
      <c r="C219" s="1" t="n">
        <v>45812</v>
      </c>
      <c r="D219" t="inlineStr">
        <is>
          <t>ÖREBRO LÄN</t>
        </is>
      </c>
      <c r="E219" t="inlineStr">
        <is>
          <t>LEKEBERG</t>
        </is>
      </c>
      <c r="G219" t="n">
        <v>0.7</v>
      </c>
      <c r="H219" t="n">
        <v>0</v>
      </c>
      <c r="I219" t="n">
        <v>0</v>
      </c>
      <c r="J219" t="n">
        <v>0</v>
      </c>
      <c r="K219" t="n">
        <v>0</v>
      </c>
      <c r="L219" t="n">
        <v>0</v>
      </c>
      <c r="M219" t="n">
        <v>0</v>
      </c>
      <c r="N219" t="n">
        <v>0</v>
      </c>
      <c r="O219" t="n">
        <v>0</v>
      </c>
      <c r="P219" t="n">
        <v>0</v>
      </c>
      <c r="Q219" t="n">
        <v>0</v>
      </c>
      <c r="R219" s="2" t="inlineStr"/>
    </row>
    <row r="220" ht="15" customHeight="1">
      <c r="A220" t="inlineStr">
        <is>
          <t>A 22125-2023</t>
        </is>
      </c>
      <c r="B220" s="1" t="n">
        <v>45069</v>
      </c>
      <c r="C220" s="1" t="n">
        <v>45812</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22136-2023</t>
        </is>
      </c>
      <c r="B221" s="1" t="n">
        <v>45069</v>
      </c>
      <c r="C221" s="1" t="n">
        <v>45812</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22186-2023</t>
        </is>
      </c>
      <c r="B222" s="1" t="n">
        <v>45069</v>
      </c>
      <c r="C222" s="1" t="n">
        <v>45812</v>
      </c>
      <c r="D222" t="inlineStr">
        <is>
          <t>ÖREBRO LÄN</t>
        </is>
      </c>
      <c r="E222" t="inlineStr">
        <is>
          <t>LEKEBERG</t>
        </is>
      </c>
      <c r="G222" t="n">
        <v>1.4</v>
      </c>
      <c r="H222" t="n">
        <v>0</v>
      </c>
      <c r="I222" t="n">
        <v>0</v>
      </c>
      <c r="J222" t="n">
        <v>0</v>
      </c>
      <c r="K222" t="n">
        <v>0</v>
      </c>
      <c r="L222" t="n">
        <v>0</v>
      </c>
      <c r="M222" t="n">
        <v>0</v>
      </c>
      <c r="N222" t="n">
        <v>0</v>
      </c>
      <c r="O222" t="n">
        <v>0</v>
      </c>
      <c r="P222" t="n">
        <v>0</v>
      </c>
      <c r="Q222" t="n">
        <v>0</v>
      </c>
      <c r="R222" s="2" t="inlineStr"/>
    </row>
    <row r="223" ht="15" customHeight="1">
      <c r="A223" t="inlineStr">
        <is>
          <t>A 22199-2023</t>
        </is>
      </c>
      <c r="B223" s="1" t="n">
        <v>45069</v>
      </c>
      <c r="C223" s="1" t="n">
        <v>45812</v>
      </c>
      <c r="D223" t="inlineStr">
        <is>
          <t>ÖREBRO LÄN</t>
        </is>
      </c>
      <c r="E223" t="inlineStr">
        <is>
          <t>LEKEBERG</t>
        </is>
      </c>
      <c r="G223" t="n">
        <v>3</v>
      </c>
      <c r="H223" t="n">
        <v>0</v>
      </c>
      <c r="I223" t="n">
        <v>0</v>
      </c>
      <c r="J223" t="n">
        <v>0</v>
      </c>
      <c r="K223" t="n">
        <v>0</v>
      </c>
      <c r="L223" t="n">
        <v>0</v>
      </c>
      <c r="M223" t="n">
        <v>0</v>
      </c>
      <c r="N223" t="n">
        <v>0</v>
      </c>
      <c r="O223" t="n">
        <v>0</v>
      </c>
      <c r="P223" t="n">
        <v>0</v>
      </c>
      <c r="Q223" t="n">
        <v>0</v>
      </c>
      <c r="R223" s="2" t="inlineStr"/>
    </row>
    <row r="224" ht="15" customHeight="1">
      <c r="A224" t="inlineStr">
        <is>
          <t>A 22184-2023</t>
        </is>
      </c>
      <c r="B224" s="1" t="n">
        <v>45069</v>
      </c>
      <c r="C224" s="1" t="n">
        <v>45812</v>
      </c>
      <c r="D224" t="inlineStr">
        <is>
          <t>ÖREBRO LÄN</t>
        </is>
      </c>
      <c r="E224" t="inlineStr">
        <is>
          <t>LEKEBERG</t>
        </is>
      </c>
      <c r="G224" t="n">
        <v>0.9</v>
      </c>
      <c r="H224" t="n">
        <v>0</v>
      </c>
      <c r="I224" t="n">
        <v>0</v>
      </c>
      <c r="J224" t="n">
        <v>0</v>
      </c>
      <c r="K224" t="n">
        <v>0</v>
      </c>
      <c r="L224" t="n">
        <v>0</v>
      </c>
      <c r="M224" t="n">
        <v>0</v>
      </c>
      <c r="N224" t="n">
        <v>0</v>
      </c>
      <c r="O224" t="n">
        <v>0</v>
      </c>
      <c r="P224" t="n">
        <v>0</v>
      </c>
      <c r="Q224" t="n">
        <v>0</v>
      </c>
      <c r="R224" s="2" t="inlineStr"/>
    </row>
    <row r="225" ht="15" customHeight="1">
      <c r="A225" t="inlineStr">
        <is>
          <t>A 23562-2023</t>
        </is>
      </c>
      <c r="B225" s="1" t="n">
        <v>45077</v>
      </c>
      <c r="C225" s="1" t="n">
        <v>45812</v>
      </c>
      <c r="D225" t="inlineStr">
        <is>
          <t>ÖREBRO LÄN</t>
        </is>
      </c>
      <c r="E225" t="inlineStr">
        <is>
          <t>LEKEBERG</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24079-2023</t>
        </is>
      </c>
      <c r="B226" s="1" t="n">
        <v>45079</v>
      </c>
      <c r="C226" s="1" t="n">
        <v>45812</v>
      </c>
      <c r="D226" t="inlineStr">
        <is>
          <t>ÖREBRO LÄN</t>
        </is>
      </c>
      <c r="E226" t="inlineStr">
        <is>
          <t>LEKEBERG</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24080-2023</t>
        </is>
      </c>
      <c r="B227" s="1" t="n">
        <v>45079</v>
      </c>
      <c r="C227" s="1" t="n">
        <v>45812</v>
      </c>
      <c r="D227" t="inlineStr">
        <is>
          <t>ÖREBRO LÄN</t>
        </is>
      </c>
      <c r="E227" t="inlineStr">
        <is>
          <t>LEKEBERG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24912-2023</t>
        </is>
      </c>
      <c r="B228" s="1" t="n">
        <v>45085</v>
      </c>
      <c r="C228" s="1" t="n">
        <v>45812</v>
      </c>
      <c r="D228" t="inlineStr">
        <is>
          <t>ÖREBRO LÄN</t>
        </is>
      </c>
      <c r="E228" t="inlineStr">
        <is>
          <t>LEKEBERG</t>
        </is>
      </c>
      <c r="G228" t="n">
        <v>3.2</v>
      </c>
      <c r="H228" t="n">
        <v>0</v>
      </c>
      <c r="I228" t="n">
        <v>0</v>
      </c>
      <c r="J228" t="n">
        <v>0</v>
      </c>
      <c r="K228" t="n">
        <v>0</v>
      </c>
      <c r="L228" t="n">
        <v>0</v>
      </c>
      <c r="M228" t="n">
        <v>0</v>
      </c>
      <c r="N228" t="n">
        <v>0</v>
      </c>
      <c r="O228" t="n">
        <v>0</v>
      </c>
      <c r="P228" t="n">
        <v>0</v>
      </c>
      <c r="Q228" t="n">
        <v>0</v>
      </c>
      <c r="R228" s="2" t="inlineStr"/>
    </row>
    <row r="229" ht="15" customHeight="1">
      <c r="A229" t="inlineStr">
        <is>
          <t>A 24913-2023</t>
        </is>
      </c>
      <c r="B229" s="1" t="n">
        <v>45085</v>
      </c>
      <c r="C229" s="1" t="n">
        <v>45812</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25013-2023</t>
        </is>
      </c>
      <c r="B230" s="1" t="n">
        <v>45085</v>
      </c>
      <c r="C230" s="1" t="n">
        <v>45812</v>
      </c>
      <c r="D230" t="inlineStr">
        <is>
          <t>ÖREBRO LÄN</t>
        </is>
      </c>
      <c r="E230" t="inlineStr">
        <is>
          <t>LEKEBERG</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26115-2023</t>
        </is>
      </c>
      <c r="B231" s="1" t="n">
        <v>45091</v>
      </c>
      <c r="C231" s="1" t="n">
        <v>45812</v>
      </c>
      <c r="D231" t="inlineStr">
        <is>
          <t>ÖREBRO LÄN</t>
        </is>
      </c>
      <c r="E231" t="inlineStr">
        <is>
          <t>LEKEBERG</t>
        </is>
      </c>
      <c r="G231" t="n">
        <v>1.9</v>
      </c>
      <c r="H231" t="n">
        <v>0</v>
      </c>
      <c r="I231" t="n">
        <v>0</v>
      </c>
      <c r="J231" t="n">
        <v>0</v>
      </c>
      <c r="K231" t="n">
        <v>0</v>
      </c>
      <c r="L231" t="n">
        <v>0</v>
      </c>
      <c r="M231" t="n">
        <v>0</v>
      </c>
      <c r="N231" t="n">
        <v>0</v>
      </c>
      <c r="O231" t="n">
        <v>0</v>
      </c>
      <c r="P231" t="n">
        <v>0</v>
      </c>
      <c r="Q231" t="n">
        <v>0</v>
      </c>
      <c r="R231" s="2" t="inlineStr"/>
    </row>
    <row r="232" ht="15" customHeight="1">
      <c r="A232" t="inlineStr">
        <is>
          <t>A 26121-2023</t>
        </is>
      </c>
      <c r="B232" s="1" t="n">
        <v>45091</v>
      </c>
      <c r="C232" s="1" t="n">
        <v>45812</v>
      </c>
      <c r="D232" t="inlineStr">
        <is>
          <t>ÖREBRO LÄN</t>
        </is>
      </c>
      <c r="E232" t="inlineStr">
        <is>
          <t>LEKEBERG</t>
        </is>
      </c>
      <c r="G232" t="n">
        <v>0.4</v>
      </c>
      <c r="H232" t="n">
        <v>0</v>
      </c>
      <c r="I232" t="n">
        <v>0</v>
      </c>
      <c r="J232" t="n">
        <v>0</v>
      </c>
      <c r="K232" t="n">
        <v>0</v>
      </c>
      <c r="L232" t="n">
        <v>0</v>
      </c>
      <c r="M232" t="n">
        <v>0</v>
      </c>
      <c r="N232" t="n">
        <v>0</v>
      </c>
      <c r="O232" t="n">
        <v>0</v>
      </c>
      <c r="P232" t="n">
        <v>0</v>
      </c>
      <c r="Q232" t="n">
        <v>0</v>
      </c>
      <c r="R232" s="2" t="inlineStr"/>
    </row>
    <row r="233" ht="15" customHeight="1">
      <c r="A233" t="inlineStr">
        <is>
          <t>A 26763-2023</t>
        </is>
      </c>
      <c r="B233" s="1" t="n">
        <v>45093</v>
      </c>
      <c r="C233" s="1" t="n">
        <v>45812</v>
      </c>
      <c r="D233" t="inlineStr">
        <is>
          <t>ÖREBRO LÄN</t>
        </is>
      </c>
      <c r="E233" t="inlineStr">
        <is>
          <t>LEKEBERG</t>
        </is>
      </c>
      <c r="G233" t="n">
        <v>2.1</v>
      </c>
      <c r="H233" t="n">
        <v>0</v>
      </c>
      <c r="I233" t="n">
        <v>0</v>
      </c>
      <c r="J233" t="n">
        <v>0</v>
      </c>
      <c r="K233" t="n">
        <v>0</v>
      </c>
      <c r="L233" t="n">
        <v>0</v>
      </c>
      <c r="M233" t="n">
        <v>0</v>
      </c>
      <c r="N233" t="n">
        <v>0</v>
      </c>
      <c r="O233" t="n">
        <v>0</v>
      </c>
      <c r="P233" t="n">
        <v>0</v>
      </c>
      <c r="Q233" t="n">
        <v>0</v>
      </c>
      <c r="R233" s="2" t="inlineStr"/>
    </row>
    <row r="234" ht="15" customHeight="1">
      <c r="A234" t="inlineStr">
        <is>
          <t>A 26758-2023</t>
        </is>
      </c>
      <c r="B234" s="1" t="n">
        <v>45093</v>
      </c>
      <c r="C234" s="1" t="n">
        <v>45812</v>
      </c>
      <c r="D234" t="inlineStr">
        <is>
          <t>ÖREBRO LÄN</t>
        </is>
      </c>
      <c r="E234" t="inlineStr">
        <is>
          <t>LEKEBERG</t>
        </is>
      </c>
      <c r="G234" t="n">
        <v>3.5</v>
      </c>
      <c r="H234" t="n">
        <v>0</v>
      </c>
      <c r="I234" t="n">
        <v>0</v>
      </c>
      <c r="J234" t="n">
        <v>0</v>
      </c>
      <c r="K234" t="n">
        <v>0</v>
      </c>
      <c r="L234" t="n">
        <v>0</v>
      </c>
      <c r="M234" t="n">
        <v>0</v>
      </c>
      <c r="N234" t="n">
        <v>0</v>
      </c>
      <c r="O234" t="n">
        <v>0</v>
      </c>
      <c r="P234" t="n">
        <v>0</v>
      </c>
      <c r="Q234" t="n">
        <v>0</v>
      </c>
      <c r="R234" s="2" t="inlineStr"/>
    </row>
    <row r="235" ht="15" customHeight="1">
      <c r="A235" t="inlineStr">
        <is>
          <t>A 26702-2023</t>
        </is>
      </c>
      <c r="B235" s="1" t="n">
        <v>45093</v>
      </c>
      <c r="C235" s="1" t="n">
        <v>45812</v>
      </c>
      <c r="D235" t="inlineStr">
        <is>
          <t>ÖREBRO LÄN</t>
        </is>
      </c>
      <c r="E235" t="inlineStr">
        <is>
          <t>LEKEBERG</t>
        </is>
      </c>
      <c r="G235" t="n">
        <v>2.5</v>
      </c>
      <c r="H235" t="n">
        <v>0</v>
      </c>
      <c r="I235" t="n">
        <v>0</v>
      </c>
      <c r="J235" t="n">
        <v>0</v>
      </c>
      <c r="K235" t="n">
        <v>0</v>
      </c>
      <c r="L235" t="n">
        <v>0</v>
      </c>
      <c r="M235" t="n">
        <v>0</v>
      </c>
      <c r="N235" t="n">
        <v>0</v>
      </c>
      <c r="O235" t="n">
        <v>0</v>
      </c>
      <c r="P235" t="n">
        <v>0</v>
      </c>
      <c r="Q235" t="n">
        <v>0</v>
      </c>
      <c r="R235" s="2" t="inlineStr"/>
    </row>
    <row r="236" ht="15" customHeight="1">
      <c r="A236" t="inlineStr">
        <is>
          <t>A 27769-2023</t>
        </is>
      </c>
      <c r="B236" s="1" t="n">
        <v>45098</v>
      </c>
      <c r="C236" s="1" t="n">
        <v>45812</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27947-2023</t>
        </is>
      </c>
      <c r="B237" s="1" t="n">
        <v>45098</v>
      </c>
      <c r="C237" s="1" t="n">
        <v>45812</v>
      </c>
      <c r="D237" t="inlineStr">
        <is>
          <t>ÖREBRO LÄN</t>
        </is>
      </c>
      <c r="E237" t="inlineStr">
        <is>
          <t>LEKEBERG</t>
        </is>
      </c>
      <c r="G237" t="n">
        <v>0.5</v>
      </c>
      <c r="H237" t="n">
        <v>0</v>
      </c>
      <c r="I237" t="n">
        <v>0</v>
      </c>
      <c r="J237" t="n">
        <v>0</v>
      </c>
      <c r="K237" t="n">
        <v>0</v>
      </c>
      <c r="L237" t="n">
        <v>0</v>
      </c>
      <c r="M237" t="n">
        <v>0</v>
      </c>
      <c r="N237" t="n">
        <v>0</v>
      </c>
      <c r="O237" t="n">
        <v>0</v>
      </c>
      <c r="P237" t="n">
        <v>0</v>
      </c>
      <c r="Q237" t="n">
        <v>0</v>
      </c>
      <c r="R237" s="2" t="inlineStr"/>
    </row>
    <row r="238" ht="15" customHeight="1">
      <c r="A238" t="inlineStr">
        <is>
          <t>A 28620-2023</t>
        </is>
      </c>
      <c r="B238" s="1" t="n">
        <v>45103</v>
      </c>
      <c r="C238" s="1" t="n">
        <v>45812</v>
      </c>
      <c r="D238" t="inlineStr">
        <is>
          <t>ÖREBRO LÄN</t>
        </is>
      </c>
      <c r="E238" t="inlineStr">
        <is>
          <t>LEKEBERG</t>
        </is>
      </c>
      <c r="G238" t="n">
        <v>0.6</v>
      </c>
      <c r="H238" t="n">
        <v>0</v>
      </c>
      <c r="I238" t="n">
        <v>0</v>
      </c>
      <c r="J238" t="n">
        <v>0</v>
      </c>
      <c r="K238" t="n">
        <v>0</v>
      </c>
      <c r="L238" t="n">
        <v>0</v>
      </c>
      <c r="M238" t="n">
        <v>0</v>
      </c>
      <c r="N238" t="n">
        <v>0</v>
      </c>
      <c r="O238" t="n">
        <v>0</v>
      </c>
      <c r="P238" t="n">
        <v>0</v>
      </c>
      <c r="Q238" t="n">
        <v>0</v>
      </c>
      <c r="R238" s="2" t="inlineStr"/>
    </row>
    <row r="239" ht="15" customHeight="1">
      <c r="A239" t="inlineStr">
        <is>
          <t>A 30733-2023</t>
        </is>
      </c>
      <c r="B239" s="1" t="n">
        <v>45112</v>
      </c>
      <c r="C239" s="1" t="n">
        <v>45812</v>
      </c>
      <c r="D239" t="inlineStr">
        <is>
          <t>ÖREBRO LÄN</t>
        </is>
      </c>
      <c r="E239" t="inlineStr">
        <is>
          <t>LEKEBERG</t>
        </is>
      </c>
      <c r="G239" t="n">
        <v>1.6</v>
      </c>
      <c r="H239" t="n">
        <v>0</v>
      </c>
      <c r="I239" t="n">
        <v>0</v>
      </c>
      <c r="J239" t="n">
        <v>0</v>
      </c>
      <c r="K239" t="n">
        <v>0</v>
      </c>
      <c r="L239" t="n">
        <v>0</v>
      </c>
      <c r="M239" t="n">
        <v>0</v>
      </c>
      <c r="N239" t="n">
        <v>0</v>
      </c>
      <c r="O239" t="n">
        <v>0</v>
      </c>
      <c r="P239" t="n">
        <v>0</v>
      </c>
      <c r="Q239" t="n">
        <v>0</v>
      </c>
      <c r="R239" s="2" t="inlineStr"/>
    </row>
    <row r="240" ht="15" customHeight="1">
      <c r="A240" t="inlineStr">
        <is>
          <t>A 30722-2023</t>
        </is>
      </c>
      <c r="B240" s="1" t="n">
        <v>45112</v>
      </c>
      <c r="C240" s="1" t="n">
        <v>45812</v>
      </c>
      <c r="D240" t="inlineStr">
        <is>
          <t>ÖREBRO LÄN</t>
        </is>
      </c>
      <c r="E240" t="inlineStr">
        <is>
          <t>LEKEBERG</t>
        </is>
      </c>
      <c r="F240" t="inlineStr">
        <is>
          <t>Allmännings- och besparingsskogar</t>
        </is>
      </c>
      <c r="G240" t="n">
        <v>21.2</v>
      </c>
      <c r="H240" t="n">
        <v>0</v>
      </c>
      <c r="I240" t="n">
        <v>0</v>
      </c>
      <c r="J240" t="n">
        <v>0</v>
      </c>
      <c r="K240" t="n">
        <v>0</v>
      </c>
      <c r="L240" t="n">
        <v>0</v>
      </c>
      <c r="M240" t="n">
        <v>0</v>
      </c>
      <c r="N240" t="n">
        <v>0</v>
      </c>
      <c r="O240" t="n">
        <v>0</v>
      </c>
      <c r="P240" t="n">
        <v>0</v>
      </c>
      <c r="Q240" t="n">
        <v>0</v>
      </c>
      <c r="R240" s="2" t="inlineStr"/>
    </row>
    <row r="241" ht="15" customHeight="1">
      <c r="A241" t="inlineStr">
        <is>
          <t>A 30747-2023</t>
        </is>
      </c>
      <c r="B241" s="1" t="n">
        <v>45112</v>
      </c>
      <c r="C241" s="1" t="n">
        <v>45812</v>
      </c>
      <c r="D241" t="inlineStr">
        <is>
          <t>ÖREBRO LÄN</t>
        </is>
      </c>
      <c r="E241" t="inlineStr">
        <is>
          <t>LEKEBERG</t>
        </is>
      </c>
      <c r="F241" t="inlineStr">
        <is>
          <t>Allmännings- och besparingsskogar</t>
        </is>
      </c>
      <c r="G241" t="n">
        <v>3.8</v>
      </c>
      <c r="H241" t="n">
        <v>0</v>
      </c>
      <c r="I241" t="n">
        <v>0</v>
      </c>
      <c r="J241" t="n">
        <v>0</v>
      </c>
      <c r="K241" t="n">
        <v>0</v>
      </c>
      <c r="L241" t="n">
        <v>0</v>
      </c>
      <c r="M241" t="n">
        <v>0</v>
      </c>
      <c r="N241" t="n">
        <v>0</v>
      </c>
      <c r="O241" t="n">
        <v>0</v>
      </c>
      <c r="P241" t="n">
        <v>0</v>
      </c>
      <c r="Q241" t="n">
        <v>0</v>
      </c>
      <c r="R241" s="2" t="inlineStr"/>
    </row>
    <row r="242" ht="15" customHeight="1">
      <c r="A242" t="inlineStr">
        <is>
          <t>A 30802-2023</t>
        </is>
      </c>
      <c r="B242" s="1" t="n">
        <v>45112</v>
      </c>
      <c r="C242" s="1" t="n">
        <v>45812</v>
      </c>
      <c r="D242" t="inlineStr">
        <is>
          <t>ÖREBRO LÄN</t>
        </is>
      </c>
      <c r="E242" t="inlineStr">
        <is>
          <t>LEKEBERG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31105-2023</t>
        </is>
      </c>
      <c r="B243" s="1" t="n">
        <v>45113</v>
      </c>
      <c r="C243" s="1" t="n">
        <v>45812</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31115-2023</t>
        </is>
      </c>
      <c r="B244" s="1" t="n">
        <v>45113</v>
      </c>
      <c r="C244" s="1" t="n">
        <v>45812</v>
      </c>
      <c r="D244" t="inlineStr">
        <is>
          <t>ÖREBRO LÄN</t>
        </is>
      </c>
      <c r="E244" t="inlineStr">
        <is>
          <t>LEKEBERG</t>
        </is>
      </c>
      <c r="G244" t="n">
        <v>3.4</v>
      </c>
      <c r="H244" t="n">
        <v>0</v>
      </c>
      <c r="I244" t="n">
        <v>0</v>
      </c>
      <c r="J244" t="n">
        <v>0</v>
      </c>
      <c r="K244" t="n">
        <v>0</v>
      </c>
      <c r="L244" t="n">
        <v>0</v>
      </c>
      <c r="M244" t="n">
        <v>0</v>
      </c>
      <c r="N244" t="n">
        <v>0</v>
      </c>
      <c r="O244" t="n">
        <v>0</v>
      </c>
      <c r="P244" t="n">
        <v>0</v>
      </c>
      <c r="Q244" t="n">
        <v>0</v>
      </c>
      <c r="R244" s="2" t="inlineStr"/>
    </row>
    <row r="245" ht="15" customHeight="1">
      <c r="A245" t="inlineStr">
        <is>
          <t>A 31113-2023</t>
        </is>
      </c>
      <c r="B245" s="1" t="n">
        <v>45113</v>
      </c>
      <c r="C245" s="1" t="n">
        <v>45812</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31110-2023</t>
        </is>
      </c>
      <c r="B246" s="1" t="n">
        <v>45113</v>
      </c>
      <c r="C246" s="1" t="n">
        <v>45812</v>
      </c>
      <c r="D246" t="inlineStr">
        <is>
          <t>ÖREBRO LÄN</t>
        </is>
      </c>
      <c r="E246" t="inlineStr">
        <is>
          <t>LEKEBERG</t>
        </is>
      </c>
      <c r="G246" t="n">
        <v>0.9</v>
      </c>
      <c r="H246" t="n">
        <v>0</v>
      </c>
      <c r="I246" t="n">
        <v>0</v>
      </c>
      <c r="J246" t="n">
        <v>0</v>
      </c>
      <c r="K246" t="n">
        <v>0</v>
      </c>
      <c r="L246" t="n">
        <v>0</v>
      </c>
      <c r="M246" t="n">
        <v>0</v>
      </c>
      <c r="N246" t="n">
        <v>0</v>
      </c>
      <c r="O246" t="n">
        <v>0</v>
      </c>
      <c r="P246" t="n">
        <v>0</v>
      </c>
      <c r="Q246" t="n">
        <v>0</v>
      </c>
      <c r="R246" s="2" t="inlineStr"/>
    </row>
    <row r="247" ht="15" customHeight="1">
      <c r="A247" t="inlineStr">
        <is>
          <t>A 31431-2023</t>
        </is>
      </c>
      <c r="B247" s="1" t="n">
        <v>45114</v>
      </c>
      <c r="C247" s="1" t="n">
        <v>45812</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33260-2023</t>
        </is>
      </c>
      <c r="B248" s="1" t="n">
        <v>45127</v>
      </c>
      <c r="C248" s="1" t="n">
        <v>45812</v>
      </c>
      <c r="D248" t="inlineStr">
        <is>
          <t>ÖREBRO LÄN</t>
        </is>
      </c>
      <c r="E248" t="inlineStr">
        <is>
          <t>LEKEBERG</t>
        </is>
      </c>
      <c r="G248" t="n">
        <v>0.5</v>
      </c>
      <c r="H248" t="n">
        <v>0</v>
      </c>
      <c r="I248" t="n">
        <v>0</v>
      </c>
      <c r="J248" t="n">
        <v>0</v>
      </c>
      <c r="K248" t="n">
        <v>0</v>
      </c>
      <c r="L248" t="n">
        <v>0</v>
      </c>
      <c r="M248" t="n">
        <v>0</v>
      </c>
      <c r="N248" t="n">
        <v>0</v>
      </c>
      <c r="O248" t="n">
        <v>0</v>
      </c>
      <c r="P248" t="n">
        <v>0</v>
      </c>
      <c r="Q248" t="n">
        <v>0</v>
      </c>
      <c r="R248" s="2" t="inlineStr"/>
    </row>
    <row r="249" ht="15" customHeight="1">
      <c r="A249" t="inlineStr">
        <is>
          <t>A 33262-2023</t>
        </is>
      </c>
      <c r="B249" s="1" t="n">
        <v>45127</v>
      </c>
      <c r="C249" s="1" t="n">
        <v>45812</v>
      </c>
      <c r="D249" t="inlineStr">
        <is>
          <t>ÖREBRO LÄN</t>
        </is>
      </c>
      <c r="E249" t="inlineStr">
        <is>
          <t>LEKEBERG</t>
        </is>
      </c>
      <c r="G249" t="n">
        <v>0.4</v>
      </c>
      <c r="H249" t="n">
        <v>0</v>
      </c>
      <c r="I249" t="n">
        <v>0</v>
      </c>
      <c r="J249" t="n">
        <v>0</v>
      </c>
      <c r="K249" t="n">
        <v>0</v>
      </c>
      <c r="L249" t="n">
        <v>0</v>
      </c>
      <c r="M249" t="n">
        <v>0</v>
      </c>
      <c r="N249" t="n">
        <v>0</v>
      </c>
      <c r="O249" t="n">
        <v>0</v>
      </c>
      <c r="P249" t="n">
        <v>0</v>
      </c>
      <c r="Q249" t="n">
        <v>0</v>
      </c>
      <c r="R249" s="2" t="inlineStr"/>
    </row>
    <row r="250" ht="15" customHeight="1">
      <c r="A250" t="inlineStr">
        <is>
          <t>A 33259-2023</t>
        </is>
      </c>
      <c r="B250" s="1" t="n">
        <v>45127</v>
      </c>
      <c r="C250" s="1" t="n">
        <v>45812</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33336-2023</t>
        </is>
      </c>
      <c r="B251" s="1" t="n">
        <v>45128</v>
      </c>
      <c r="C251" s="1" t="n">
        <v>45812</v>
      </c>
      <c r="D251" t="inlineStr">
        <is>
          <t>ÖREBRO LÄN</t>
        </is>
      </c>
      <c r="E251" t="inlineStr">
        <is>
          <t>LEKEBERG</t>
        </is>
      </c>
      <c r="G251" t="n">
        <v>1.1</v>
      </c>
      <c r="H251" t="n">
        <v>0</v>
      </c>
      <c r="I251" t="n">
        <v>0</v>
      </c>
      <c r="J251" t="n">
        <v>0</v>
      </c>
      <c r="K251" t="n">
        <v>0</v>
      </c>
      <c r="L251" t="n">
        <v>0</v>
      </c>
      <c r="M251" t="n">
        <v>0</v>
      </c>
      <c r="N251" t="n">
        <v>0</v>
      </c>
      <c r="O251" t="n">
        <v>0</v>
      </c>
      <c r="P251" t="n">
        <v>0</v>
      </c>
      <c r="Q251" t="n">
        <v>0</v>
      </c>
      <c r="R251" s="2" t="inlineStr"/>
    </row>
    <row r="252" ht="15" customHeight="1">
      <c r="A252" t="inlineStr">
        <is>
          <t>A 33337-2023</t>
        </is>
      </c>
      <c r="B252" s="1" t="n">
        <v>45128</v>
      </c>
      <c r="C252" s="1" t="n">
        <v>45812</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33401-2023</t>
        </is>
      </c>
      <c r="B253" s="1" t="n">
        <v>45128</v>
      </c>
      <c r="C253" s="1" t="n">
        <v>45812</v>
      </c>
      <c r="D253" t="inlineStr">
        <is>
          <t>ÖREBRO LÄN</t>
        </is>
      </c>
      <c r="E253" t="inlineStr">
        <is>
          <t>LEKEBERG</t>
        </is>
      </c>
      <c r="G253" t="n">
        <v>3.5</v>
      </c>
      <c r="H253" t="n">
        <v>0</v>
      </c>
      <c r="I253" t="n">
        <v>0</v>
      </c>
      <c r="J253" t="n">
        <v>0</v>
      </c>
      <c r="K253" t="n">
        <v>0</v>
      </c>
      <c r="L253" t="n">
        <v>0</v>
      </c>
      <c r="M253" t="n">
        <v>0</v>
      </c>
      <c r="N253" t="n">
        <v>0</v>
      </c>
      <c r="O253" t="n">
        <v>0</v>
      </c>
      <c r="P253" t="n">
        <v>0</v>
      </c>
      <c r="Q253" t="n">
        <v>0</v>
      </c>
      <c r="R253" s="2" t="inlineStr"/>
    </row>
    <row r="254" ht="15" customHeight="1">
      <c r="A254" t="inlineStr">
        <is>
          <t>A 33334-2023</t>
        </is>
      </c>
      <c r="B254" s="1" t="n">
        <v>45128</v>
      </c>
      <c r="C254" s="1" t="n">
        <v>45812</v>
      </c>
      <c r="D254" t="inlineStr">
        <is>
          <t>ÖREBRO LÄN</t>
        </is>
      </c>
      <c r="E254" t="inlineStr">
        <is>
          <t>LEKEBERG</t>
        </is>
      </c>
      <c r="G254" t="n">
        <v>1.7</v>
      </c>
      <c r="H254" t="n">
        <v>0</v>
      </c>
      <c r="I254" t="n">
        <v>0</v>
      </c>
      <c r="J254" t="n">
        <v>0</v>
      </c>
      <c r="K254" t="n">
        <v>0</v>
      </c>
      <c r="L254" t="n">
        <v>0</v>
      </c>
      <c r="M254" t="n">
        <v>0</v>
      </c>
      <c r="N254" t="n">
        <v>0</v>
      </c>
      <c r="O254" t="n">
        <v>0</v>
      </c>
      <c r="P254" t="n">
        <v>0</v>
      </c>
      <c r="Q254" t="n">
        <v>0</v>
      </c>
      <c r="R254" s="2" t="inlineStr"/>
    </row>
    <row r="255" ht="15" customHeight="1">
      <c r="A255" t="inlineStr">
        <is>
          <t>A 33963-2023</t>
        </is>
      </c>
      <c r="B255" s="1" t="n">
        <v>45134</v>
      </c>
      <c r="C255" s="1" t="n">
        <v>45812</v>
      </c>
      <c r="D255" t="inlineStr">
        <is>
          <t>ÖREBRO LÄN</t>
        </is>
      </c>
      <c r="E255" t="inlineStr">
        <is>
          <t>LEKEBERG</t>
        </is>
      </c>
      <c r="G255" t="n">
        <v>2.8</v>
      </c>
      <c r="H255" t="n">
        <v>0</v>
      </c>
      <c r="I255" t="n">
        <v>0</v>
      </c>
      <c r="J255" t="n">
        <v>0</v>
      </c>
      <c r="K255" t="n">
        <v>0</v>
      </c>
      <c r="L255" t="n">
        <v>0</v>
      </c>
      <c r="M255" t="n">
        <v>0</v>
      </c>
      <c r="N255" t="n">
        <v>0</v>
      </c>
      <c r="O255" t="n">
        <v>0</v>
      </c>
      <c r="P255" t="n">
        <v>0</v>
      </c>
      <c r="Q255" t="n">
        <v>0</v>
      </c>
      <c r="R255" s="2" t="inlineStr"/>
    </row>
    <row r="256" ht="15" customHeight="1">
      <c r="A256" t="inlineStr">
        <is>
          <t>A 33961-2023</t>
        </is>
      </c>
      <c r="B256" s="1" t="n">
        <v>45134</v>
      </c>
      <c r="C256" s="1" t="n">
        <v>45812</v>
      </c>
      <c r="D256" t="inlineStr">
        <is>
          <t>ÖREBRO LÄN</t>
        </is>
      </c>
      <c r="E256" t="inlineStr">
        <is>
          <t>LEKEBERG</t>
        </is>
      </c>
      <c r="G256" t="n">
        <v>0.8</v>
      </c>
      <c r="H256" t="n">
        <v>0</v>
      </c>
      <c r="I256" t="n">
        <v>0</v>
      </c>
      <c r="J256" t="n">
        <v>0</v>
      </c>
      <c r="K256" t="n">
        <v>0</v>
      </c>
      <c r="L256" t="n">
        <v>0</v>
      </c>
      <c r="M256" t="n">
        <v>0</v>
      </c>
      <c r="N256" t="n">
        <v>0</v>
      </c>
      <c r="O256" t="n">
        <v>0</v>
      </c>
      <c r="P256" t="n">
        <v>0</v>
      </c>
      <c r="Q256" t="n">
        <v>0</v>
      </c>
      <c r="R256" s="2" t="inlineStr"/>
    </row>
    <row r="257" ht="15" customHeight="1">
      <c r="A257" t="inlineStr">
        <is>
          <t>A 33962-2023</t>
        </is>
      </c>
      <c r="B257" s="1" t="n">
        <v>45134</v>
      </c>
      <c r="C257" s="1" t="n">
        <v>45812</v>
      </c>
      <c r="D257" t="inlineStr">
        <is>
          <t>ÖREBRO LÄN</t>
        </is>
      </c>
      <c r="E257" t="inlineStr">
        <is>
          <t>LEKEBERG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36516-2023</t>
        </is>
      </c>
      <c r="B258" s="1" t="n">
        <v>45153</v>
      </c>
      <c r="C258" s="1" t="n">
        <v>45812</v>
      </c>
      <c r="D258" t="inlineStr">
        <is>
          <t>ÖREBRO LÄN</t>
        </is>
      </c>
      <c r="E258" t="inlineStr">
        <is>
          <t>LEKEBERG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36868-2023</t>
        </is>
      </c>
      <c r="B259" s="1" t="n">
        <v>45154</v>
      </c>
      <c r="C259" s="1" t="n">
        <v>45812</v>
      </c>
      <c r="D259" t="inlineStr">
        <is>
          <t>ÖREBRO LÄN</t>
        </is>
      </c>
      <c r="E259" t="inlineStr">
        <is>
          <t>LEKEBERG</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38922-2023</t>
        </is>
      </c>
      <c r="B260" s="1" t="n">
        <v>45163</v>
      </c>
      <c r="C260" s="1" t="n">
        <v>45812</v>
      </c>
      <c r="D260" t="inlineStr">
        <is>
          <t>ÖREBRO LÄN</t>
        </is>
      </c>
      <c r="E260" t="inlineStr">
        <is>
          <t>LEKEBERG</t>
        </is>
      </c>
      <c r="G260" t="n">
        <v>1.9</v>
      </c>
      <c r="H260" t="n">
        <v>0</v>
      </c>
      <c r="I260" t="n">
        <v>0</v>
      </c>
      <c r="J260" t="n">
        <v>0</v>
      </c>
      <c r="K260" t="n">
        <v>0</v>
      </c>
      <c r="L260" t="n">
        <v>0</v>
      </c>
      <c r="M260" t="n">
        <v>0</v>
      </c>
      <c r="N260" t="n">
        <v>0</v>
      </c>
      <c r="O260" t="n">
        <v>0</v>
      </c>
      <c r="P260" t="n">
        <v>0</v>
      </c>
      <c r="Q260" t="n">
        <v>0</v>
      </c>
      <c r="R260" s="2" t="inlineStr"/>
    </row>
    <row r="261" ht="15" customHeight="1">
      <c r="A261" t="inlineStr">
        <is>
          <t>A 38955-2023</t>
        </is>
      </c>
      <c r="B261" s="1" t="n">
        <v>45163</v>
      </c>
      <c r="C261" s="1" t="n">
        <v>45812</v>
      </c>
      <c r="D261" t="inlineStr">
        <is>
          <t>ÖREBRO LÄN</t>
        </is>
      </c>
      <c r="E261" t="inlineStr">
        <is>
          <t>LEKEBERG</t>
        </is>
      </c>
      <c r="G261" t="n">
        <v>1.8</v>
      </c>
      <c r="H261" t="n">
        <v>0</v>
      </c>
      <c r="I261" t="n">
        <v>0</v>
      </c>
      <c r="J261" t="n">
        <v>0</v>
      </c>
      <c r="K261" t="n">
        <v>0</v>
      </c>
      <c r="L261" t="n">
        <v>0</v>
      </c>
      <c r="M261" t="n">
        <v>0</v>
      </c>
      <c r="N261" t="n">
        <v>0</v>
      </c>
      <c r="O261" t="n">
        <v>0</v>
      </c>
      <c r="P261" t="n">
        <v>0</v>
      </c>
      <c r="Q261" t="n">
        <v>0</v>
      </c>
      <c r="R261" s="2" t="inlineStr"/>
    </row>
    <row r="262" ht="15" customHeight="1">
      <c r="A262" t="inlineStr">
        <is>
          <t>A 41350-2023</t>
        </is>
      </c>
      <c r="B262" s="1" t="n">
        <v>45174</v>
      </c>
      <c r="C262" s="1" t="n">
        <v>45812</v>
      </c>
      <c r="D262" t="inlineStr">
        <is>
          <t>ÖREBRO LÄN</t>
        </is>
      </c>
      <c r="E262" t="inlineStr">
        <is>
          <t>LEKEBERG</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41578-2023</t>
        </is>
      </c>
      <c r="B263" s="1" t="n">
        <v>45175</v>
      </c>
      <c r="C263" s="1" t="n">
        <v>45812</v>
      </c>
      <c r="D263" t="inlineStr">
        <is>
          <t>ÖREBRO LÄN</t>
        </is>
      </c>
      <c r="E263" t="inlineStr">
        <is>
          <t>LEKEBERG</t>
        </is>
      </c>
      <c r="F263" t="inlineStr">
        <is>
          <t>Allmännings- och besparingsskogar</t>
        </is>
      </c>
      <c r="G263" t="n">
        <v>6.8</v>
      </c>
      <c r="H263" t="n">
        <v>0</v>
      </c>
      <c r="I263" t="n">
        <v>0</v>
      </c>
      <c r="J263" t="n">
        <v>0</v>
      </c>
      <c r="K263" t="n">
        <v>0</v>
      </c>
      <c r="L263" t="n">
        <v>0</v>
      </c>
      <c r="M263" t="n">
        <v>0</v>
      </c>
      <c r="N263" t="n">
        <v>0</v>
      </c>
      <c r="O263" t="n">
        <v>0</v>
      </c>
      <c r="P263" t="n">
        <v>0</v>
      </c>
      <c r="Q263" t="n">
        <v>0</v>
      </c>
      <c r="R263" s="2" t="inlineStr"/>
    </row>
    <row r="264" ht="15" customHeight="1">
      <c r="A264" t="inlineStr">
        <is>
          <t>A 43077-2023</t>
        </is>
      </c>
      <c r="B264" s="1" t="n">
        <v>45182</v>
      </c>
      <c r="C264" s="1" t="n">
        <v>45812</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44170-2023</t>
        </is>
      </c>
      <c r="B265" s="1" t="n">
        <v>45188</v>
      </c>
      <c r="C265" s="1" t="n">
        <v>45812</v>
      </c>
      <c r="D265" t="inlineStr">
        <is>
          <t>ÖREBRO LÄN</t>
        </is>
      </c>
      <c r="E265" t="inlineStr">
        <is>
          <t>LEKEBERG</t>
        </is>
      </c>
      <c r="G265" t="n">
        <v>7.8</v>
      </c>
      <c r="H265" t="n">
        <v>0</v>
      </c>
      <c r="I265" t="n">
        <v>0</v>
      </c>
      <c r="J265" t="n">
        <v>0</v>
      </c>
      <c r="K265" t="n">
        <v>0</v>
      </c>
      <c r="L265" t="n">
        <v>0</v>
      </c>
      <c r="M265" t="n">
        <v>0</v>
      </c>
      <c r="N265" t="n">
        <v>0</v>
      </c>
      <c r="O265" t="n">
        <v>0</v>
      </c>
      <c r="P265" t="n">
        <v>0</v>
      </c>
      <c r="Q265" t="n">
        <v>0</v>
      </c>
      <c r="R265" s="2" t="inlineStr"/>
    </row>
    <row r="266" ht="15" customHeight="1">
      <c r="A266" t="inlineStr">
        <is>
          <t>A 44168-2023</t>
        </is>
      </c>
      <c r="B266" s="1" t="n">
        <v>45188</v>
      </c>
      <c r="C266" s="1" t="n">
        <v>45812</v>
      </c>
      <c r="D266" t="inlineStr">
        <is>
          <t>ÖREBRO LÄN</t>
        </is>
      </c>
      <c r="E266" t="inlineStr">
        <is>
          <t>LEKEBERG</t>
        </is>
      </c>
      <c r="G266" t="n">
        <v>4.5</v>
      </c>
      <c r="H266" t="n">
        <v>0</v>
      </c>
      <c r="I266" t="n">
        <v>0</v>
      </c>
      <c r="J266" t="n">
        <v>0</v>
      </c>
      <c r="K266" t="n">
        <v>0</v>
      </c>
      <c r="L266" t="n">
        <v>0</v>
      </c>
      <c r="M266" t="n">
        <v>0</v>
      </c>
      <c r="N266" t="n">
        <v>0</v>
      </c>
      <c r="O266" t="n">
        <v>0</v>
      </c>
      <c r="P266" t="n">
        <v>0</v>
      </c>
      <c r="Q266" t="n">
        <v>0</v>
      </c>
      <c r="R266" s="2" t="inlineStr"/>
    </row>
    <row r="267" ht="15" customHeight="1">
      <c r="A267" t="inlineStr">
        <is>
          <t>A 44172-2023</t>
        </is>
      </c>
      <c r="B267" s="1" t="n">
        <v>45188</v>
      </c>
      <c r="C267" s="1" t="n">
        <v>45812</v>
      </c>
      <c r="D267" t="inlineStr">
        <is>
          <t>ÖREBRO LÄN</t>
        </is>
      </c>
      <c r="E267" t="inlineStr">
        <is>
          <t>LEKEBERG</t>
        </is>
      </c>
      <c r="G267" t="n">
        <v>12.6</v>
      </c>
      <c r="H267" t="n">
        <v>0</v>
      </c>
      <c r="I267" t="n">
        <v>0</v>
      </c>
      <c r="J267" t="n">
        <v>0</v>
      </c>
      <c r="K267" t="n">
        <v>0</v>
      </c>
      <c r="L267" t="n">
        <v>0</v>
      </c>
      <c r="M267" t="n">
        <v>0</v>
      </c>
      <c r="N267" t="n">
        <v>0</v>
      </c>
      <c r="O267" t="n">
        <v>0</v>
      </c>
      <c r="P267" t="n">
        <v>0</v>
      </c>
      <c r="Q267" t="n">
        <v>0</v>
      </c>
      <c r="R267" s="2" t="inlineStr"/>
    </row>
    <row r="268" ht="15" customHeight="1">
      <c r="A268" t="inlineStr">
        <is>
          <t>A 45087-2023</t>
        </is>
      </c>
      <c r="B268" s="1" t="n">
        <v>45191</v>
      </c>
      <c r="C268" s="1" t="n">
        <v>45812</v>
      </c>
      <c r="D268" t="inlineStr">
        <is>
          <t>ÖREBRO LÄN</t>
        </is>
      </c>
      <c r="E268" t="inlineStr">
        <is>
          <t>LEKEBERG</t>
        </is>
      </c>
      <c r="G268" t="n">
        <v>1.6</v>
      </c>
      <c r="H268" t="n">
        <v>0</v>
      </c>
      <c r="I268" t="n">
        <v>0</v>
      </c>
      <c r="J268" t="n">
        <v>0</v>
      </c>
      <c r="K268" t="n">
        <v>0</v>
      </c>
      <c r="L268" t="n">
        <v>0</v>
      </c>
      <c r="M268" t="n">
        <v>0</v>
      </c>
      <c r="N268" t="n">
        <v>0</v>
      </c>
      <c r="O268" t="n">
        <v>0</v>
      </c>
      <c r="P268" t="n">
        <v>0</v>
      </c>
      <c r="Q268" t="n">
        <v>0</v>
      </c>
      <c r="R268" s="2" t="inlineStr"/>
    </row>
    <row r="269" ht="15" customHeight="1">
      <c r="A269" t="inlineStr">
        <is>
          <t>A 45106-2023</t>
        </is>
      </c>
      <c r="B269" s="1" t="n">
        <v>45191</v>
      </c>
      <c r="C269" s="1" t="n">
        <v>45812</v>
      </c>
      <c r="D269" t="inlineStr">
        <is>
          <t>ÖREBRO LÄN</t>
        </is>
      </c>
      <c r="E269" t="inlineStr">
        <is>
          <t>LEKEBERG</t>
        </is>
      </c>
      <c r="G269" t="n">
        <v>0.8</v>
      </c>
      <c r="H269" t="n">
        <v>0</v>
      </c>
      <c r="I269" t="n">
        <v>0</v>
      </c>
      <c r="J269" t="n">
        <v>0</v>
      </c>
      <c r="K269" t="n">
        <v>0</v>
      </c>
      <c r="L269" t="n">
        <v>0</v>
      </c>
      <c r="M269" t="n">
        <v>0</v>
      </c>
      <c r="N269" t="n">
        <v>0</v>
      </c>
      <c r="O269" t="n">
        <v>0</v>
      </c>
      <c r="P269" t="n">
        <v>0</v>
      </c>
      <c r="Q269" t="n">
        <v>0</v>
      </c>
      <c r="R269" s="2" t="inlineStr"/>
    </row>
    <row r="270" ht="15" customHeight="1">
      <c r="A270" t="inlineStr">
        <is>
          <t>A 46575-2023</t>
        </is>
      </c>
      <c r="B270" s="1" t="n">
        <v>45198</v>
      </c>
      <c r="C270" s="1" t="n">
        <v>45812</v>
      </c>
      <c r="D270" t="inlineStr">
        <is>
          <t>ÖREBRO LÄN</t>
        </is>
      </c>
      <c r="E270" t="inlineStr">
        <is>
          <t>LEKEBERG</t>
        </is>
      </c>
      <c r="G270" t="n">
        <v>1</v>
      </c>
      <c r="H270" t="n">
        <v>0</v>
      </c>
      <c r="I270" t="n">
        <v>0</v>
      </c>
      <c r="J270" t="n">
        <v>0</v>
      </c>
      <c r="K270" t="n">
        <v>0</v>
      </c>
      <c r="L270" t="n">
        <v>0</v>
      </c>
      <c r="M270" t="n">
        <v>0</v>
      </c>
      <c r="N270" t="n">
        <v>0</v>
      </c>
      <c r="O270" t="n">
        <v>0</v>
      </c>
      <c r="P270" t="n">
        <v>0</v>
      </c>
      <c r="Q270" t="n">
        <v>0</v>
      </c>
      <c r="R270" s="2" t="inlineStr"/>
    </row>
    <row r="271" ht="15" customHeight="1">
      <c r="A271" t="inlineStr">
        <is>
          <t>A 47452-2023</t>
        </is>
      </c>
      <c r="B271" s="1" t="n">
        <v>45202</v>
      </c>
      <c r="C271" s="1" t="n">
        <v>45812</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47902-2023</t>
        </is>
      </c>
      <c r="B272" s="1" t="n">
        <v>45204</v>
      </c>
      <c r="C272" s="1" t="n">
        <v>45812</v>
      </c>
      <c r="D272" t="inlineStr">
        <is>
          <t>ÖREBRO LÄN</t>
        </is>
      </c>
      <c r="E272" t="inlineStr">
        <is>
          <t>LEKEBERG</t>
        </is>
      </c>
      <c r="G272" t="n">
        <v>1.5</v>
      </c>
      <c r="H272" t="n">
        <v>0</v>
      </c>
      <c r="I272" t="n">
        <v>0</v>
      </c>
      <c r="J272" t="n">
        <v>0</v>
      </c>
      <c r="K272" t="n">
        <v>0</v>
      </c>
      <c r="L272" t="n">
        <v>0</v>
      </c>
      <c r="M272" t="n">
        <v>0</v>
      </c>
      <c r="N272" t="n">
        <v>0</v>
      </c>
      <c r="O272" t="n">
        <v>0</v>
      </c>
      <c r="P272" t="n">
        <v>0</v>
      </c>
      <c r="Q272" t="n">
        <v>0</v>
      </c>
      <c r="R272" s="2" t="inlineStr"/>
    </row>
    <row r="273" ht="15" customHeight="1">
      <c r="A273" t="inlineStr">
        <is>
          <t>A 47906-2023</t>
        </is>
      </c>
      <c r="B273" s="1" t="n">
        <v>45204</v>
      </c>
      <c r="C273" s="1" t="n">
        <v>45812</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47903-2023</t>
        </is>
      </c>
      <c r="B274" s="1" t="n">
        <v>45204</v>
      </c>
      <c r="C274" s="1" t="n">
        <v>45812</v>
      </c>
      <c r="D274" t="inlineStr">
        <is>
          <t>ÖREBRO LÄN</t>
        </is>
      </c>
      <c r="E274" t="inlineStr">
        <is>
          <t>LEKEBERG</t>
        </is>
      </c>
      <c r="G274" t="n">
        <v>4.4</v>
      </c>
      <c r="H274" t="n">
        <v>0</v>
      </c>
      <c r="I274" t="n">
        <v>0</v>
      </c>
      <c r="J274" t="n">
        <v>0</v>
      </c>
      <c r="K274" t="n">
        <v>0</v>
      </c>
      <c r="L274" t="n">
        <v>0</v>
      </c>
      <c r="M274" t="n">
        <v>0</v>
      </c>
      <c r="N274" t="n">
        <v>0</v>
      </c>
      <c r="O274" t="n">
        <v>0</v>
      </c>
      <c r="P274" t="n">
        <v>0</v>
      </c>
      <c r="Q274" t="n">
        <v>0</v>
      </c>
      <c r="R274" s="2" t="inlineStr"/>
    </row>
    <row r="275" ht="15" customHeight="1">
      <c r="A275" t="inlineStr">
        <is>
          <t>A 53214-2023</t>
        </is>
      </c>
      <c r="B275" s="1" t="n">
        <v>45229</v>
      </c>
      <c r="C275" s="1" t="n">
        <v>45812</v>
      </c>
      <c r="D275" t="inlineStr">
        <is>
          <t>ÖREBRO LÄN</t>
        </is>
      </c>
      <c r="E275" t="inlineStr">
        <is>
          <t>LEKEBERG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53221-2023</t>
        </is>
      </c>
      <c r="B276" s="1" t="n">
        <v>45229</v>
      </c>
      <c r="C276" s="1" t="n">
        <v>45812</v>
      </c>
      <c r="D276" t="inlineStr">
        <is>
          <t>ÖREBRO LÄN</t>
        </is>
      </c>
      <c r="E276" t="inlineStr">
        <is>
          <t>LEKEBERG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53910-2023</t>
        </is>
      </c>
      <c r="B277" s="1" t="n">
        <v>45231</v>
      </c>
      <c r="C277" s="1" t="n">
        <v>45812</v>
      </c>
      <c r="D277" t="inlineStr">
        <is>
          <t>ÖREBRO LÄN</t>
        </is>
      </c>
      <c r="E277" t="inlineStr">
        <is>
          <t>LEKEBERG</t>
        </is>
      </c>
      <c r="G277" t="n">
        <v>5.7</v>
      </c>
      <c r="H277" t="n">
        <v>0</v>
      </c>
      <c r="I277" t="n">
        <v>0</v>
      </c>
      <c r="J277" t="n">
        <v>0</v>
      </c>
      <c r="K277" t="n">
        <v>0</v>
      </c>
      <c r="L277" t="n">
        <v>0</v>
      </c>
      <c r="M277" t="n">
        <v>0</v>
      </c>
      <c r="N277" t="n">
        <v>0</v>
      </c>
      <c r="O277" t="n">
        <v>0</v>
      </c>
      <c r="P277" t="n">
        <v>0</v>
      </c>
      <c r="Q277" t="n">
        <v>0</v>
      </c>
      <c r="R277" s="2" t="inlineStr"/>
    </row>
    <row r="278" ht="15" customHeight="1">
      <c r="A278" t="inlineStr">
        <is>
          <t>A 54959-2023</t>
        </is>
      </c>
      <c r="B278" s="1" t="n">
        <v>45236</v>
      </c>
      <c r="C278" s="1" t="n">
        <v>45812</v>
      </c>
      <c r="D278" t="inlineStr">
        <is>
          <t>ÖREBRO LÄN</t>
        </is>
      </c>
      <c r="E278" t="inlineStr">
        <is>
          <t>LEKEBERG</t>
        </is>
      </c>
      <c r="G278" t="n">
        <v>2</v>
      </c>
      <c r="H278" t="n">
        <v>0</v>
      </c>
      <c r="I278" t="n">
        <v>0</v>
      </c>
      <c r="J278" t="n">
        <v>0</v>
      </c>
      <c r="K278" t="n">
        <v>0</v>
      </c>
      <c r="L278" t="n">
        <v>0</v>
      </c>
      <c r="M278" t="n">
        <v>0</v>
      </c>
      <c r="N278" t="n">
        <v>0</v>
      </c>
      <c r="O278" t="n">
        <v>0</v>
      </c>
      <c r="P278" t="n">
        <v>0</v>
      </c>
      <c r="Q278" t="n">
        <v>0</v>
      </c>
      <c r="R278" s="2" t="inlineStr"/>
    </row>
    <row r="279" ht="15" customHeight="1">
      <c r="A279" t="inlineStr">
        <is>
          <t>A 54960-2023</t>
        </is>
      </c>
      <c r="B279" s="1" t="n">
        <v>45236</v>
      </c>
      <c r="C279" s="1" t="n">
        <v>45812</v>
      </c>
      <c r="D279" t="inlineStr">
        <is>
          <t>ÖREBRO LÄN</t>
        </is>
      </c>
      <c r="E279" t="inlineStr">
        <is>
          <t>LEKEBERG</t>
        </is>
      </c>
      <c r="G279" t="n">
        <v>1.8</v>
      </c>
      <c r="H279" t="n">
        <v>0</v>
      </c>
      <c r="I279" t="n">
        <v>0</v>
      </c>
      <c r="J279" t="n">
        <v>0</v>
      </c>
      <c r="K279" t="n">
        <v>0</v>
      </c>
      <c r="L279" t="n">
        <v>0</v>
      </c>
      <c r="M279" t="n">
        <v>0</v>
      </c>
      <c r="N279" t="n">
        <v>0</v>
      </c>
      <c r="O279" t="n">
        <v>0</v>
      </c>
      <c r="P279" t="n">
        <v>0</v>
      </c>
      <c r="Q279" t="n">
        <v>0</v>
      </c>
      <c r="R279" s="2" t="inlineStr"/>
    </row>
    <row r="280" ht="15" customHeight="1">
      <c r="A280" t="inlineStr">
        <is>
          <t>A 56095-2023</t>
        </is>
      </c>
      <c r="B280" s="1" t="n">
        <v>45240</v>
      </c>
      <c r="C280" s="1" t="n">
        <v>45812</v>
      </c>
      <c r="D280" t="inlineStr">
        <is>
          <t>ÖREBRO LÄN</t>
        </is>
      </c>
      <c r="E280" t="inlineStr">
        <is>
          <t>LEKEBERG</t>
        </is>
      </c>
      <c r="G280" t="n">
        <v>3.3</v>
      </c>
      <c r="H280" t="n">
        <v>0</v>
      </c>
      <c r="I280" t="n">
        <v>0</v>
      </c>
      <c r="J280" t="n">
        <v>0</v>
      </c>
      <c r="K280" t="n">
        <v>0</v>
      </c>
      <c r="L280" t="n">
        <v>0</v>
      </c>
      <c r="M280" t="n">
        <v>0</v>
      </c>
      <c r="N280" t="n">
        <v>0</v>
      </c>
      <c r="O280" t="n">
        <v>0</v>
      </c>
      <c r="P280" t="n">
        <v>0</v>
      </c>
      <c r="Q280" t="n">
        <v>0</v>
      </c>
      <c r="R280" s="2" t="inlineStr"/>
    </row>
    <row r="281" ht="15" customHeight="1">
      <c r="A281" t="inlineStr">
        <is>
          <t>A 56282-2023</t>
        </is>
      </c>
      <c r="B281" s="1" t="n">
        <v>45241</v>
      </c>
      <c r="C281" s="1" t="n">
        <v>45812</v>
      </c>
      <c r="D281" t="inlineStr">
        <is>
          <t>ÖREBRO LÄN</t>
        </is>
      </c>
      <c r="E281" t="inlineStr">
        <is>
          <t>LEKEBERG</t>
        </is>
      </c>
      <c r="G281" t="n">
        <v>6.8</v>
      </c>
      <c r="H281" t="n">
        <v>0</v>
      </c>
      <c r="I281" t="n">
        <v>0</v>
      </c>
      <c r="J281" t="n">
        <v>0</v>
      </c>
      <c r="K281" t="n">
        <v>0</v>
      </c>
      <c r="L281" t="n">
        <v>0</v>
      </c>
      <c r="M281" t="n">
        <v>0</v>
      </c>
      <c r="N281" t="n">
        <v>0</v>
      </c>
      <c r="O281" t="n">
        <v>0</v>
      </c>
      <c r="P281" t="n">
        <v>0</v>
      </c>
      <c r="Q281" t="n">
        <v>0</v>
      </c>
      <c r="R281" s="2" t="inlineStr"/>
    </row>
    <row r="282" ht="15" customHeight="1">
      <c r="A282" t="inlineStr">
        <is>
          <t>A 57231-2023</t>
        </is>
      </c>
      <c r="B282" s="1" t="n">
        <v>45245</v>
      </c>
      <c r="C282" s="1" t="n">
        <v>45812</v>
      </c>
      <c r="D282" t="inlineStr">
        <is>
          <t>ÖREBRO LÄN</t>
        </is>
      </c>
      <c r="E282" t="inlineStr">
        <is>
          <t>LEKEBERG</t>
        </is>
      </c>
      <c r="G282" t="n">
        <v>2.7</v>
      </c>
      <c r="H282" t="n">
        <v>0</v>
      </c>
      <c r="I282" t="n">
        <v>0</v>
      </c>
      <c r="J282" t="n">
        <v>0</v>
      </c>
      <c r="K282" t="n">
        <v>0</v>
      </c>
      <c r="L282" t="n">
        <v>0</v>
      </c>
      <c r="M282" t="n">
        <v>0</v>
      </c>
      <c r="N282" t="n">
        <v>0</v>
      </c>
      <c r="O282" t="n">
        <v>0</v>
      </c>
      <c r="P282" t="n">
        <v>0</v>
      </c>
      <c r="Q282" t="n">
        <v>0</v>
      </c>
      <c r="R282" s="2" t="inlineStr"/>
    </row>
    <row r="283" ht="15" customHeight="1">
      <c r="A283" t="inlineStr">
        <is>
          <t>A 57693-2023</t>
        </is>
      </c>
      <c r="B283" s="1" t="n">
        <v>45246</v>
      </c>
      <c r="C283" s="1" t="n">
        <v>45812</v>
      </c>
      <c r="D283" t="inlineStr">
        <is>
          <t>ÖREBRO LÄN</t>
        </is>
      </c>
      <c r="E283" t="inlineStr">
        <is>
          <t>LEKEBERG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57698-2023</t>
        </is>
      </c>
      <c r="B284" s="1" t="n">
        <v>45246</v>
      </c>
      <c r="C284" s="1" t="n">
        <v>45812</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58935-2023</t>
        </is>
      </c>
      <c r="B285" s="1" t="n">
        <v>45250</v>
      </c>
      <c r="C285" s="1" t="n">
        <v>45812</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59251-2023</t>
        </is>
      </c>
      <c r="B286" s="1" t="n">
        <v>45251</v>
      </c>
      <c r="C286" s="1" t="n">
        <v>45812</v>
      </c>
      <c r="D286" t="inlineStr">
        <is>
          <t>ÖREBRO LÄN</t>
        </is>
      </c>
      <c r="E286" t="inlineStr">
        <is>
          <t>LEKEBERG</t>
        </is>
      </c>
      <c r="G286" t="n">
        <v>5</v>
      </c>
      <c r="H286" t="n">
        <v>0</v>
      </c>
      <c r="I286" t="n">
        <v>0</v>
      </c>
      <c r="J286" t="n">
        <v>0</v>
      </c>
      <c r="K286" t="n">
        <v>0</v>
      </c>
      <c r="L286" t="n">
        <v>0</v>
      </c>
      <c r="M286" t="n">
        <v>0</v>
      </c>
      <c r="N286" t="n">
        <v>0</v>
      </c>
      <c r="O286" t="n">
        <v>0</v>
      </c>
      <c r="P286" t="n">
        <v>0</v>
      </c>
      <c r="Q286" t="n">
        <v>0</v>
      </c>
      <c r="R286" s="2" t="inlineStr"/>
    </row>
    <row r="287" ht="15" customHeight="1">
      <c r="A287" t="inlineStr">
        <is>
          <t>A 59040-2023</t>
        </is>
      </c>
      <c r="B287" s="1" t="n">
        <v>45252</v>
      </c>
      <c r="C287" s="1" t="n">
        <v>45812</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59821-2023</t>
        </is>
      </c>
      <c r="B288" s="1" t="n">
        <v>45257</v>
      </c>
      <c r="C288" s="1" t="n">
        <v>45812</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61644-2023</t>
        </is>
      </c>
      <c r="B289" s="1" t="n">
        <v>45263</v>
      </c>
      <c r="C289" s="1" t="n">
        <v>45812</v>
      </c>
      <c r="D289" t="inlineStr">
        <is>
          <t>ÖREBRO LÄN</t>
        </is>
      </c>
      <c r="E289" t="inlineStr">
        <is>
          <t>LEKEBERG</t>
        </is>
      </c>
      <c r="G289" t="n">
        <v>2.9</v>
      </c>
      <c r="H289" t="n">
        <v>0</v>
      </c>
      <c r="I289" t="n">
        <v>0</v>
      </c>
      <c r="J289" t="n">
        <v>0</v>
      </c>
      <c r="K289" t="n">
        <v>0</v>
      </c>
      <c r="L289" t="n">
        <v>0</v>
      </c>
      <c r="M289" t="n">
        <v>0</v>
      </c>
      <c r="N289" t="n">
        <v>0</v>
      </c>
      <c r="O289" t="n">
        <v>0</v>
      </c>
      <c r="P289" t="n">
        <v>0</v>
      </c>
      <c r="Q289" t="n">
        <v>0</v>
      </c>
      <c r="R289" s="2" t="inlineStr"/>
    </row>
    <row r="290" ht="15" customHeight="1">
      <c r="A290" t="inlineStr">
        <is>
          <t>A 61400-2023</t>
        </is>
      </c>
      <c r="B290" s="1" t="n">
        <v>45264</v>
      </c>
      <c r="C290" s="1" t="n">
        <v>45812</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61555-2023</t>
        </is>
      </c>
      <c r="B291" s="1" t="n">
        <v>45265</v>
      </c>
      <c r="C291" s="1" t="n">
        <v>45812</v>
      </c>
      <c r="D291" t="inlineStr">
        <is>
          <t>ÖREBRO LÄN</t>
        </is>
      </c>
      <c r="E291" t="inlineStr">
        <is>
          <t>LEKEBERG</t>
        </is>
      </c>
      <c r="G291" t="n">
        <v>0.7</v>
      </c>
      <c r="H291" t="n">
        <v>0</v>
      </c>
      <c r="I291" t="n">
        <v>0</v>
      </c>
      <c r="J291" t="n">
        <v>0</v>
      </c>
      <c r="K291" t="n">
        <v>0</v>
      </c>
      <c r="L291" t="n">
        <v>0</v>
      </c>
      <c r="M291" t="n">
        <v>0</v>
      </c>
      <c r="N291" t="n">
        <v>0</v>
      </c>
      <c r="O291" t="n">
        <v>0</v>
      </c>
      <c r="P291" t="n">
        <v>0</v>
      </c>
      <c r="Q291" t="n">
        <v>0</v>
      </c>
      <c r="R291" s="2" t="inlineStr"/>
    </row>
    <row r="292" ht="15" customHeight="1">
      <c r="A292" t="inlineStr">
        <is>
          <t>A 61758-2023</t>
        </is>
      </c>
      <c r="B292" s="1" t="n">
        <v>45265</v>
      </c>
      <c r="C292" s="1" t="n">
        <v>45812</v>
      </c>
      <c r="D292" t="inlineStr">
        <is>
          <t>ÖREBRO LÄN</t>
        </is>
      </c>
      <c r="E292" t="inlineStr">
        <is>
          <t>LEKEBERG</t>
        </is>
      </c>
      <c r="G292" t="n">
        <v>2.1</v>
      </c>
      <c r="H292" t="n">
        <v>0</v>
      </c>
      <c r="I292" t="n">
        <v>0</v>
      </c>
      <c r="J292" t="n">
        <v>0</v>
      </c>
      <c r="K292" t="n">
        <v>0</v>
      </c>
      <c r="L292" t="n">
        <v>0</v>
      </c>
      <c r="M292" t="n">
        <v>0</v>
      </c>
      <c r="N292" t="n">
        <v>0</v>
      </c>
      <c r="O292" t="n">
        <v>0</v>
      </c>
      <c r="P292" t="n">
        <v>0</v>
      </c>
      <c r="Q292" t="n">
        <v>0</v>
      </c>
      <c r="R292" s="2" t="inlineStr"/>
    </row>
    <row r="293" ht="15" customHeight="1">
      <c r="A293" t="inlineStr">
        <is>
          <t>A 61755-2023</t>
        </is>
      </c>
      <c r="B293" s="1" t="n">
        <v>45265</v>
      </c>
      <c r="C293" s="1" t="n">
        <v>45812</v>
      </c>
      <c r="D293" t="inlineStr">
        <is>
          <t>ÖREBRO LÄN</t>
        </is>
      </c>
      <c r="E293" t="inlineStr">
        <is>
          <t>LEKEBERG</t>
        </is>
      </c>
      <c r="G293" t="n">
        <v>3.6</v>
      </c>
      <c r="H293" t="n">
        <v>0</v>
      </c>
      <c r="I293" t="n">
        <v>0</v>
      </c>
      <c r="J293" t="n">
        <v>0</v>
      </c>
      <c r="K293" t="n">
        <v>0</v>
      </c>
      <c r="L293" t="n">
        <v>0</v>
      </c>
      <c r="M293" t="n">
        <v>0</v>
      </c>
      <c r="N293" t="n">
        <v>0</v>
      </c>
      <c r="O293" t="n">
        <v>0</v>
      </c>
      <c r="P293" t="n">
        <v>0</v>
      </c>
      <c r="Q293" t="n">
        <v>0</v>
      </c>
      <c r="R293" s="2" t="inlineStr"/>
    </row>
    <row r="294" ht="15" customHeight="1">
      <c r="A294" t="inlineStr">
        <is>
          <t>A 62841-2023</t>
        </is>
      </c>
      <c r="B294" s="1" t="n">
        <v>45270</v>
      </c>
      <c r="C294" s="1" t="n">
        <v>45812</v>
      </c>
      <c r="D294" t="inlineStr">
        <is>
          <t>ÖREBRO LÄN</t>
        </is>
      </c>
      <c r="E294" t="inlineStr">
        <is>
          <t>LEKEBERG</t>
        </is>
      </c>
      <c r="G294" t="n">
        <v>3.3</v>
      </c>
      <c r="H294" t="n">
        <v>0</v>
      </c>
      <c r="I294" t="n">
        <v>0</v>
      </c>
      <c r="J294" t="n">
        <v>0</v>
      </c>
      <c r="K294" t="n">
        <v>0</v>
      </c>
      <c r="L294" t="n">
        <v>0</v>
      </c>
      <c r="M294" t="n">
        <v>0</v>
      </c>
      <c r="N294" t="n">
        <v>0</v>
      </c>
      <c r="O294" t="n">
        <v>0</v>
      </c>
      <c r="P294" t="n">
        <v>0</v>
      </c>
      <c r="Q294" t="n">
        <v>0</v>
      </c>
      <c r="R294" s="2" t="inlineStr"/>
    </row>
    <row r="295" ht="15" customHeight="1">
      <c r="A295" t="inlineStr">
        <is>
          <t>A 62833-2023</t>
        </is>
      </c>
      <c r="B295" s="1" t="n">
        <v>45270</v>
      </c>
      <c r="C295" s="1" t="n">
        <v>45812</v>
      </c>
      <c r="D295" t="inlineStr">
        <is>
          <t>ÖREBRO LÄN</t>
        </is>
      </c>
      <c r="E295" t="inlineStr">
        <is>
          <t>LEKEBERG</t>
        </is>
      </c>
      <c r="G295" t="n">
        <v>2.2</v>
      </c>
      <c r="H295" t="n">
        <v>0</v>
      </c>
      <c r="I295" t="n">
        <v>0</v>
      </c>
      <c r="J295" t="n">
        <v>0</v>
      </c>
      <c r="K295" t="n">
        <v>0</v>
      </c>
      <c r="L295" t="n">
        <v>0</v>
      </c>
      <c r="M295" t="n">
        <v>0</v>
      </c>
      <c r="N295" t="n">
        <v>0</v>
      </c>
      <c r="O295" t="n">
        <v>0</v>
      </c>
      <c r="P295" t="n">
        <v>0</v>
      </c>
      <c r="Q295" t="n">
        <v>0</v>
      </c>
      <c r="R295" s="2" t="inlineStr"/>
    </row>
    <row r="296" ht="15" customHeight="1">
      <c r="A296" t="inlineStr">
        <is>
          <t>A 62832-2023</t>
        </is>
      </c>
      <c r="B296" s="1" t="n">
        <v>45270</v>
      </c>
      <c r="C296" s="1" t="n">
        <v>45812</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64614-2023</t>
        </is>
      </c>
      <c r="B297" s="1" t="n">
        <v>45281</v>
      </c>
      <c r="C297" s="1" t="n">
        <v>45812</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64615-2023</t>
        </is>
      </c>
      <c r="B298" s="1" t="n">
        <v>45281</v>
      </c>
      <c r="C298" s="1" t="n">
        <v>45812</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1454-2024</t>
        </is>
      </c>
      <c r="B299" s="1" t="n">
        <v>45303</v>
      </c>
      <c r="C299" s="1" t="n">
        <v>45812</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1515-2024</t>
        </is>
      </c>
      <c r="B300" s="1" t="n">
        <v>45305</v>
      </c>
      <c r="C300" s="1" t="n">
        <v>45812</v>
      </c>
      <c r="D300" t="inlineStr">
        <is>
          <t>ÖREBRO LÄN</t>
        </is>
      </c>
      <c r="E300" t="inlineStr">
        <is>
          <t>LEKEBERG</t>
        </is>
      </c>
      <c r="G300" t="n">
        <v>3.7</v>
      </c>
      <c r="H300" t="n">
        <v>0</v>
      </c>
      <c r="I300" t="n">
        <v>0</v>
      </c>
      <c r="J300" t="n">
        <v>0</v>
      </c>
      <c r="K300" t="n">
        <v>0</v>
      </c>
      <c r="L300" t="n">
        <v>0</v>
      </c>
      <c r="M300" t="n">
        <v>0</v>
      </c>
      <c r="N300" t="n">
        <v>0</v>
      </c>
      <c r="O300" t="n">
        <v>0</v>
      </c>
      <c r="P300" t="n">
        <v>0</v>
      </c>
      <c r="Q300" t="n">
        <v>0</v>
      </c>
      <c r="R300" s="2" t="inlineStr"/>
    </row>
    <row r="301" ht="15" customHeight="1">
      <c r="A301" t="inlineStr">
        <is>
          <t>A 2175-2024</t>
        </is>
      </c>
      <c r="B301" s="1" t="n">
        <v>45309</v>
      </c>
      <c r="C301" s="1" t="n">
        <v>45812</v>
      </c>
      <c r="D301" t="inlineStr">
        <is>
          <t>ÖREBRO LÄN</t>
        </is>
      </c>
      <c r="E301" t="inlineStr">
        <is>
          <t>LEKEBERG</t>
        </is>
      </c>
      <c r="G301" t="n">
        <v>3.8</v>
      </c>
      <c r="H301" t="n">
        <v>0</v>
      </c>
      <c r="I301" t="n">
        <v>0</v>
      </c>
      <c r="J301" t="n">
        <v>0</v>
      </c>
      <c r="K301" t="n">
        <v>0</v>
      </c>
      <c r="L301" t="n">
        <v>0</v>
      </c>
      <c r="M301" t="n">
        <v>0</v>
      </c>
      <c r="N301" t="n">
        <v>0</v>
      </c>
      <c r="O301" t="n">
        <v>0</v>
      </c>
      <c r="P301" t="n">
        <v>0</v>
      </c>
      <c r="Q301" t="n">
        <v>0</v>
      </c>
      <c r="R301" s="2" t="inlineStr"/>
    </row>
    <row r="302" ht="15" customHeight="1">
      <c r="A302" t="inlineStr">
        <is>
          <t>A 5313-2024</t>
        </is>
      </c>
      <c r="B302" s="1" t="n">
        <v>45331</v>
      </c>
      <c r="C302" s="1" t="n">
        <v>45812</v>
      </c>
      <c r="D302" t="inlineStr">
        <is>
          <t>ÖREBRO LÄN</t>
        </is>
      </c>
      <c r="E302" t="inlineStr">
        <is>
          <t>LEKEBERG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5373-2024</t>
        </is>
      </c>
      <c r="B303" s="1" t="n">
        <v>45331</v>
      </c>
      <c r="C303" s="1" t="n">
        <v>45812</v>
      </c>
      <c r="D303" t="inlineStr">
        <is>
          <t>ÖREBRO LÄN</t>
        </is>
      </c>
      <c r="E303" t="inlineStr">
        <is>
          <t>LEKEBERG</t>
        </is>
      </c>
      <c r="G303" t="n">
        <v>5.8</v>
      </c>
      <c r="H303" t="n">
        <v>0</v>
      </c>
      <c r="I303" t="n">
        <v>0</v>
      </c>
      <c r="J303" t="n">
        <v>0</v>
      </c>
      <c r="K303" t="n">
        <v>0</v>
      </c>
      <c r="L303" t="n">
        <v>0</v>
      </c>
      <c r="M303" t="n">
        <v>0</v>
      </c>
      <c r="N303" t="n">
        <v>0</v>
      </c>
      <c r="O303" t="n">
        <v>0</v>
      </c>
      <c r="P303" t="n">
        <v>0</v>
      </c>
      <c r="Q303" t="n">
        <v>0</v>
      </c>
      <c r="R303" s="2" t="inlineStr"/>
    </row>
    <row r="304" ht="15" customHeight="1">
      <c r="A304" t="inlineStr">
        <is>
          <t>A 5559-2024</t>
        </is>
      </c>
      <c r="B304" s="1" t="n">
        <v>45334</v>
      </c>
      <c r="C304" s="1" t="n">
        <v>45812</v>
      </c>
      <c r="D304" t="inlineStr">
        <is>
          <t>ÖREBRO LÄN</t>
        </is>
      </c>
      <c r="E304" t="inlineStr">
        <is>
          <t>LEKEBERG</t>
        </is>
      </c>
      <c r="G304" t="n">
        <v>2.9</v>
      </c>
      <c r="H304" t="n">
        <v>0</v>
      </c>
      <c r="I304" t="n">
        <v>0</v>
      </c>
      <c r="J304" t="n">
        <v>0</v>
      </c>
      <c r="K304" t="n">
        <v>0</v>
      </c>
      <c r="L304" t="n">
        <v>0</v>
      </c>
      <c r="M304" t="n">
        <v>0</v>
      </c>
      <c r="N304" t="n">
        <v>0</v>
      </c>
      <c r="O304" t="n">
        <v>0</v>
      </c>
      <c r="P304" t="n">
        <v>0</v>
      </c>
      <c r="Q304" t="n">
        <v>0</v>
      </c>
      <c r="R304" s="2" t="inlineStr"/>
    </row>
    <row r="305" ht="15" customHeight="1">
      <c r="A305" t="inlineStr">
        <is>
          <t>A 6101-2024</t>
        </is>
      </c>
      <c r="B305" s="1" t="n">
        <v>45337</v>
      </c>
      <c r="C305" s="1" t="n">
        <v>45812</v>
      </c>
      <c r="D305" t="inlineStr">
        <is>
          <t>ÖREBRO LÄN</t>
        </is>
      </c>
      <c r="E305" t="inlineStr">
        <is>
          <t>LEKEBERG</t>
        </is>
      </c>
      <c r="G305" t="n">
        <v>4.2</v>
      </c>
      <c r="H305" t="n">
        <v>0</v>
      </c>
      <c r="I305" t="n">
        <v>0</v>
      </c>
      <c r="J305" t="n">
        <v>0</v>
      </c>
      <c r="K305" t="n">
        <v>0</v>
      </c>
      <c r="L305" t="n">
        <v>0</v>
      </c>
      <c r="M305" t="n">
        <v>0</v>
      </c>
      <c r="N305" t="n">
        <v>0</v>
      </c>
      <c r="O305" t="n">
        <v>0</v>
      </c>
      <c r="P305" t="n">
        <v>0</v>
      </c>
      <c r="Q305" t="n">
        <v>0</v>
      </c>
      <c r="R305" s="2" t="inlineStr"/>
    </row>
    <row r="306" ht="15" customHeight="1">
      <c r="A306" t="inlineStr">
        <is>
          <t>A 6843-2024</t>
        </is>
      </c>
      <c r="B306" s="1" t="n">
        <v>45342</v>
      </c>
      <c r="C306" s="1" t="n">
        <v>45812</v>
      </c>
      <c r="D306" t="inlineStr">
        <is>
          <t>ÖREBRO LÄN</t>
        </is>
      </c>
      <c r="E306" t="inlineStr">
        <is>
          <t>LEKEBERG</t>
        </is>
      </c>
      <c r="G306" t="n">
        <v>4.4</v>
      </c>
      <c r="H306" t="n">
        <v>0</v>
      </c>
      <c r="I306" t="n">
        <v>0</v>
      </c>
      <c r="J306" t="n">
        <v>0</v>
      </c>
      <c r="K306" t="n">
        <v>0</v>
      </c>
      <c r="L306" t="n">
        <v>0</v>
      </c>
      <c r="M306" t="n">
        <v>0</v>
      </c>
      <c r="N306" t="n">
        <v>0</v>
      </c>
      <c r="O306" t="n">
        <v>0</v>
      </c>
      <c r="P306" t="n">
        <v>0</v>
      </c>
      <c r="Q306" t="n">
        <v>0</v>
      </c>
      <c r="R306" s="2" t="inlineStr"/>
    </row>
    <row r="307" ht="15" customHeight="1">
      <c r="A307" t="inlineStr">
        <is>
          <t>A 7426-2024</t>
        </is>
      </c>
      <c r="B307" s="1" t="n">
        <v>45345</v>
      </c>
      <c r="C307" s="1" t="n">
        <v>45812</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8632-2024</t>
        </is>
      </c>
      <c r="B308" s="1" t="n">
        <v>45355</v>
      </c>
      <c r="C308" s="1" t="n">
        <v>45812</v>
      </c>
      <c r="D308" t="inlineStr">
        <is>
          <t>ÖREBRO LÄN</t>
        </is>
      </c>
      <c r="E308" t="inlineStr">
        <is>
          <t>LEKEBERG</t>
        </is>
      </c>
      <c r="G308" t="n">
        <v>4</v>
      </c>
      <c r="H308" t="n">
        <v>0</v>
      </c>
      <c r="I308" t="n">
        <v>0</v>
      </c>
      <c r="J308" t="n">
        <v>0</v>
      </c>
      <c r="K308" t="n">
        <v>0</v>
      </c>
      <c r="L308" t="n">
        <v>0</v>
      </c>
      <c r="M308" t="n">
        <v>0</v>
      </c>
      <c r="N308" t="n">
        <v>0</v>
      </c>
      <c r="O308" t="n">
        <v>0</v>
      </c>
      <c r="P308" t="n">
        <v>0</v>
      </c>
      <c r="Q308" t="n">
        <v>0</v>
      </c>
      <c r="R308" s="2" t="inlineStr"/>
    </row>
    <row r="309" ht="15" customHeight="1">
      <c r="A309" t="inlineStr">
        <is>
          <t>A 9668-2024</t>
        </is>
      </c>
      <c r="B309" s="1" t="n">
        <v>45362</v>
      </c>
      <c r="C309" s="1" t="n">
        <v>45812</v>
      </c>
      <c r="D309" t="inlineStr">
        <is>
          <t>ÖREBRO LÄN</t>
        </is>
      </c>
      <c r="E309" t="inlineStr">
        <is>
          <t>LEKEBERG</t>
        </is>
      </c>
      <c r="G309" t="n">
        <v>2.4</v>
      </c>
      <c r="H309" t="n">
        <v>0</v>
      </c>
      <c r="I309" t="n">
        <v>0</v>
      </c>
      <c r="J309" t="n">
        <v>0</v>
      </c>
      <c r="K309" t="n">
        <v>0</v>
      </c>
      <c r="L309" t="n">
        <v>0</v>
      </c>
      <c r="M309" t="n">
        <v>0</v>
      </c>
      <c r="N309" t="n">
        <v>0</v>
      </c>
      <c r="O309" t="n">
        <v>0</v>
      </c>
      <c r="P309" t="n">
        <v>0</v>
      </c>
      <c r="Q309" t="n">
        <v>0</v>
      </c>
      <c r="R309" s="2" t="inlineStr"/>
    </row>
    <row r="310" ht="15" customHeight="1">
      <c r="A310" t="inlineStr">
        <is>
          <t>A 11004-2024</t>
        </is>
      </c>
      <c r="B310" s="1" t="n">
        <v>45370</v>
      </c>
      <c r="C310" s="1" t="n">
        <v>45812</v>
      </c>
      <c r="D310" t="inlineStr">
        <is>
          <t>ÖREBRO LÄN</t>
        </is>
      </c>
      <c r="E310" t="inlineStr">
        <is>
          <t>LEKEBERG</t>
        </is>
      </c>
      <c r="G310" t="n">
        <v>2</v>
      </c>
      <c r="H310" t="n">
        <v>0</v>
      </c>
      <c r="I310" t="n">
        <v>0</v>
      </c>
      <c r="J310" t="n">
        <v>0</v>
      </c>
      <c r="K310" t="n">
        <v>0</v>
      </c>
      <c r="L310" t="n">
        <v>0</v>
      </c>
      <c r="M310" t="n">
        <v>0</v>
      </c>
      <c r="N310" t="n">
        <v>0</v>
      </c>
      <c r="O310" t="n">
        <v>0</v>
      </c>
      <c r="P310" t="n">
        <v>0</v>
      </c>
      <c r="Q310" t="n">
        <v>0</v>
      </c>
      <c r="R310" s="2" t="inlineStr"/>
    </row>
    <row r="311" ht="15" customHeight="1">
      <c r="A311" t="inlineStr">
        <is>
          <t>A 11233-2024</t>
        </is>
      </c>
      <c r="B311" s="1" t="n">
        <v>45371</v>
      </c>
      <c r="C311" s="1" t="n">
        <v>45812</v>
      </c>
      <c r="D311" t="inlineStr">
        <is>
          <t>ÖREBRO LÄN</t>
        </is>
      </c>
      <c r="E311" t="inlineStr">
        <is>
          <t>LEKEBERG</t>
        </is>
      </c>
      <c r="F311" t="inlineStr">
        <is>
          <t>Kyrkan</t>
        </is>
      </c>
      <c r="G311" t="n">
        <v>3.6</v>
      </c>
      <c r="H311" t="n">
        <v>0</v>
      </c>
      <c r="I311" t="n">
        <v>0</v>
      </c>
      <c r="J311" t="n">
        <v>0</v>
      </c>
      <c r="K311" t="n">
        <v>0</v>
      </c>
      <c r="L311" t="n">
        <v>0</v>
      </c>
      <c r="M311" t="n">
        <v>0</v>
      </c>
      <c r="N311" t="n">
        <v>0</v>
      </c>
      <c r="O311" t="n">
        <v>0</v>
      </c>
      <c r="P311" t="n">
        <v>0</v>
      </c>
      <c r="Q311" t="n">
        <v>0</v>
      </c>
      <c r="R311" s="2" t="inlineStr"/>
    </row>
    <row r="312" ht="15" customHeight="1">
      <c r="A312" t="inlineStr">
        <is>
          <t>A 11676-2024</t>
        </is>
      </c>
      <c r="B312" s="1" t="n">
        <v>45373</v>
      </c>
      <c r="C312" s="1" t="n">
        <v>45812</v>
      </c>
      <c r="D312" t="inlineStr">
        <is>
          <t>ÖREBRO LÄN</t>
        </is>
      </c>
      <c r="E312" t="inlineStr">
        <is>
          <t>LEKEBERG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14130-2024</t>
        </is>
      </c>
      <c r="B313" s="1" t="n">
        <v>45392</v>
      </c>
      <c r="C313" s="1" t="n">
        <v>45812</v>
      </c>
      <c r="D313" t="inlineStr">
        <is>
          <t>ÖREBRO LÄN</t>
        </is>
      </c>
      <c r="E313" t="inlineStr">
        <is>
          <t>LEKEBERG</t>
        </is>
      </c>
      <c r="G313" t="n">
        <v>7.6</v>
      </c>
      <c r="H313" t="n">
        <v>0</v>
      </c>
      <c r="I313" t="n">
        <v>0</v>
      </c>
      <c r="J313" t="n">
        <v>0</v>
      </c>
      <c r="K313" t="n">
        <v>0</v>
      </c>
      <c r="L313" t="n">
        <v>0</v>
      </c>
      <c r="M313" t="n">
        <v>0</v>
      </c>
      <c r="N313" t="n">
        <v>0</v>
      </c>
      <c r="O313" t="n">
        <v>0</v>
      </c>
      <c r="P313" t="n">
        <v>0</v>
      </c>
      <c r="Q313" t="n">
        <v>0</v>
      </c>
      <c r="R313" s="2" t="inlineStr"/>
    </row>
    <row r="314" ht="15" customHeight="1">
      <c r="A314" t="inlineStr">
        <is>
          <t>A 14353-2024</t>
        </is>
      </c>
      <c r="B314" s="1" t="n">
        <v>45393</v>
      </c>
      <c r="C314" s="1" t="n">
        <v>45812</v>
      </c>
      <c r="D314" t="inlineStr">
        <is>
          <t>ÖREBRO LÄN</t>
        </is>
      </c>
      <c r="E314" t="inlineStr">
        <is>
          <t>LEKEBERG</t>
        </is>
      </c>
      <c r="G314" t="n">
        <v>3.8</v>
      </c>
      <c r="H314" t="n">
        <v>0</v>
      </c>
      <c r="I314" t="n">
        <v>0</v>
      </c>
      <c r="J314" t="n">
        <v>0</v>
      </c>
      <c r="K314" t="n">
        <v>0</v>
      </c>
      <c r="L314" t="n">
        <v>0</v>
      </c>
      <c r="M314" t="n">
        <v>0</v>
      </c>
      <c r="N314" t="n">
        <v>0</v>
      </c>
      <c r="O314" t="n">
        <v>0</v>
      </c>
      <c r="P314" t="n">
        <v>0</v>
      </c>
      <c r="Q314" t="n">
        <v>0</v>
      </c>
      <c r="R314" s="2" t="inlineStr"/>
    </row>
    <row r="315" ht="15" customHeight="1">
      <c r="A315" t="inlineStr">
        <is>
          <t>A 14734-2024</t>
        </is>
      </c>
      <c r="B315" s="1" t="n">
        <v>45397</v>
      </c>
      <c r="C315" s="1" t="n">
        <v>45812</v>
      </c>
      <c r="D315" t="inlineStr">
        <is>
          <t>ÖREBRO LÄN</t>
        </is>
      </c>
      <c r="E315" t="inlineStr">
        <is>
          <t>LEKEBERG</t>
        </is>
      </c>
      <c r="G315" t="n">
        <v>1.2</v>
      </c>
      <c r="H315" t="n">
        <v>0</v>
      </c>
      <c r="I315" t="n">
        <v>0</v>
      </c>
      <c r="J315" t="n">
        <v>0</v>
      </c>
      <c r="K315" t="n">
        <v>0</v>
      </c>
      <c r="L315" t="n">
        <v>0</v>
      </c>
      <c r="M315" t="n">
        <v>0</v>
      </c>
      <c r="N315" t="n">
        <v>0</v>
      </c>
      <c r="O315" t="n">
        <v>0</v>
      </c>
      <c r="P315" t="n">
        <v>0</v>
      </c>
      <c r="Q315" t="n">
        <v>0</v>
      </c>
      <c r="R315" s="2" t="inlineStr"/>
    </row>
    <row r="316" ht="15" customHeight="1">
      <c r="A316" t="inlineStr">
        <is>
          <t>A 15214-2024</t>
        </is>
      </c>
      <c r="B316" s="1" t="n">
        <v>45400</v>
      </c>
      <c r="C316" s="1" t="n">
        <v>45812</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15821-2024</t>
        </is>
      </c>
      <c r="B317" s="1" t="n">
        <v>45404</v>
      </c>
      <c r="C317" s="1" t="n">
        <v>45812</v>
      </c>
      <c r="D317" t="inlineStr">
        <is>
          <t>ÖREBRO LÄN</t>
        </is>
      </c>
      <c r="E317" t="inlineStr">
        <is>
          <t>LEKEBERG</t>
        </is>
      </c>
      <c r="G317" t="n">
        <v>0.6</v>
      </c>
      <c r="H317" t="n">
        <v>0</v>
      </c>
      <c r="I317" t="n">
        <v>0</v>
      </c>
      <c r="J317" t="n">
        <v>0</v>
      </c>
      <c r="K317" t="n">
        <v>0</v>
      </c>
      <c r="L317" t="n">
        <v>0</v>
      </c>
      <c r="M317" t="n">
        <v>0</v>
      </c>
      <c r="N317" t="n">
        <v>0</v>
      </c>
      <c r="O317" t="n">
        <v>0</v>
      </c>
      <c r="P317" t="n">
        <v>0</v>
      </c>
      <c r="Q317" t="n">
        <v>0</v>
      </c>
      <c r="R317" s="2" t="inlineStr"/>
    </row>
    <row r="318" ht="15" customHeight="1">
      <c r="A318" t="inlineStr">
        <is>
          <t>A 16895-2024</t>
        </is>
      </c>
      <c r="B318" s="1" t="n">
        <v>45411</v>
      </c>
      <c r="C318" s="1" t="n">
        <v>45812</v>
      </c>
      <c r="D318" t="inlineStr">
        <is>
          <t>ÖREBRO LÄN</t>
        </is>
      </c>
      <c r="E318" t="inlineStr">
        <is>
          <t>LEKEBERG</t>
        </is>
      </c>
      <c r="F318" t="inlineStr">
        <is>
          <t>Sveaskog</t>
        </is>
      </c>
      <c r="G318" t="n">
        <v>10.3</v>
      </c>
      <c r="H318" t="n">
        <v>0</v>
      </c>
      <c r="I318" t="n">
        <v>0</v>
      </c>
      <c r="J318" t="n">
        <v>0</v>
      </c>
      <c r="K318" t="n">
        <v>0</v>
      </c>
      <c r="L318" t="n">
        <v>0</v>
      </c>
      <c r="M318" t="n">
        <v>0</v>
      </c>
      <c r="N318" t="n">
        <v>0</v>
      </c>
      <c r="O318" t="n">
        <v>0</v>
      </c>
      <c r="P318" t="n">
        <v>0</v>
      </c>
      <c r="Q318" t="n">
        <v>0</v>
      </c>
      <c r="R318" s="2" t="inlineStr"/>
    </row>
    <row r="319" ht="15" customHeight="1">
      <c r="A319" t="inlineStr">
        <is>
          <t>A 18275-2024</t>
        </is>
      </c>
      <c r="B319" s="1" t="n">
        <v>45421</v>
      </c>
      <c r="C319" s="1" t="n">
        <v>45812</v>
      </c>
      <c r="D319" t="inlineStr">
        <is>
          <t>ÖREBRO LÄN</t>
        </is>
      </c>
      <c r="E319" t="inlineStr">
        <is>
          <t>LEKEBERG</t>
        </is>
      </c>
      <c r="G319" t="n">
        <v>0.9</v>
      </c>
      <c r="H319" t="n">
        <v>0</v>
      </c>
      <c r="I319" t="n">
        <v>0</v>
      </c>
      <c r="J319" t="n">
        <v>0</v>
      </c>
      <c r="K319" t="n">
        <v>0</v>
      </c>
      <c r="L319" t="n">
        <v>0</v>
      </c>
      <c r="M319" t="n">
        <v>0</v>
      </c>
      <c r="N319" t="n">
        <v>0</v>
      </c>
      <c r="O319" t="n">
        <v>0</v>
      </c>
      <c r="P319" t="n">
        <v>0</v>
      </c>
      <c r="Q319" t="n">
        <v>0</v>
      </c>
      <c r="R319" s="2" t="inlineStr"/>
    </row>
    <row r="320" ht="15" customHeight="1">
      <c r="A320" t="inlineStr">
        <is>
          <t>A 18273-2024</t>
        </is>
      </c>
      <c r="B320" s="1" t="n">
        <v>45421</v>
      </c>
      <c r="C320" s="1" t="n">
        <v>45812</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18274-2024</t>
        </is>
      </c>
      <c r="B321" s="1" t="n">
        <v>45421</v>
      </c>
      <c r="C321" s="1" t="n">
        <v>45812</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18272-2024</t>
        </is>
      </c>
      <c r="B322" s="1" t="n">
        <v>45421</v>
      </c>
      <c r="C322" s="1" t="n">
        <v>45812</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20800-2024</t>
        </is>
      </c>
      <c r="B323" s="1" t="n">
        <v>45438</v>
      </c>
      <c r="C323" s="1" t="n">
        <v>45812</v>
      </c>
      <c r="D323" t="inlineStr">
        <is>
          <t>ÖREBRO LÄN</t>
        </is>
      </c>
      <c r="E323" t="inlineStr">
        <is>
          <t>LEKEBERG</t>
        </is>
      </c>
      <c r="G323" t="n">
        <v>3.6</v>
      </c>
      <c r="H323" t="n">
        <v>0</v>
      </c>
      <c r="I323" t="n">
        <v>0</v>
      </c>
      <c r="J323" t="n">
        <v>0</v>
      </c>
      <c r="K323" t="n">
        <v>0</v>
      </c>
      <c r="L323" t="n">
        <v>0</v>
      </c>
      <c r="M323" t="n">
        <v>0</v>
      </c>
      <c r="N323" t="n">
        <v>0</v>
      </c>
      <c r="O323" t="n">
        <v>0</v>
      </c>
      <c r="P323" t="n">
        <v>0</v>
      </c>
      <c r="Q323" t="n">
        <v>0</v>
      </c>
      <c r="R323" s="2" t="inlineStr"/>
    </row>
    <row r="324" ht="15" customHeight="1">
      <c r="A324" t="inlineStr">
        <is>
          <t>A 22580-2024</t>
        </is>
      </c>
      <c r="B324" s="1" t="n">
        <v>45447</v>
      </c>
      <c r="C324" s="1" t="n">
        <v>45812</v>
      </c>
      <c r="D324" t="inlineStr">
        <is>
          <t>ÖREBRO LÄN</t>
        </is>
      </c>
      <c r="E324" t="inlineStr">
        <is>
          <t>LEKEBERG</t>
        </is>
      </c>
      <c r="G324" t="n">
        <v>7.3</v>
      </c>
      <c r="H324" t="n">
        <v>0</v>
      </c>
      <c r="I324" t="n">
        <v>0</v>
      </c>
      <c r="J324" t="n">
        <v>0</v>
      </c>
      <c r="K324" t="n">
        <v>0</v>
      </c>
      <c r="L324" t="n">
        <v>0</v>
      </c>
      <c r="M324" t="n">
        <v>0</v>
      </c>
      <c r="N324" t="n">
        <v>0</v>
      </c>
      <c r="O324" t="n">
        <v>0</v>
      </c>
      <c r="P324" t="n">
        <v>0</v>
      </c>
      <c r="Q324" t="n">
        <v>0</v>
      </c>
      <c r="R324" s="2" t="inlineStr"/>
    </row>
    <row r="325" ht="15" customHeight="1">
      <c r="A325" t="inlineStr">
        <is>
          <t>A 22615-2024</t>
        </is>
      </c>
      <c r="B325" s="1" t="n">
        <v>45447</v>
      </c>
      <c r="C325" s="1" t="n">
        <v>45812</v>
      </c>
      <c r="D325" t="inlineStr">
        <is>
          <t>ÖREBRO LÄN</t>
        </is>
      </c>
      <c r="E325" t="inlineStr">
        <is>
          <t>LEKEBERG</t>
        </is>
      </c>
      <c r="G325" t="n">
        <v>3.3</v>
      </c>
      <c r="H325" t="n">
        <v>0</v>
      </c>
      <c r="I325" t="n">
        <v>0</v>
      </c>
      <c r="J325" t="n">
        <v>0</v>
      </c>
      <c r="K325" t="n">
        <v>0</v>
      </c>
      <c r="L325" t="n">
        <v>0</v>
      </c>
      <c r="M325" t="n">
        <v>0</v>
      </c>
      <c r="N325" t="n">
        <v>0</v>
      </c>
      <c r="O325" t="n">
        <v>0</v>
      </c>
      <c r="P325" t="n">
        <v>0</v>
      </c>
      <c r="Q325" t="n">
        <v>0</v>
      </c>
      <c r="R325" s="2" t="inlineStr"/>
    </row>
    <row r="326" ht="15" customHeight="1">
      <c r="A326" t="inlineStr">
        <is>
          <t>A 23154-2024</t>
        </is>
      </c>
      <c r="B326" s="1" t="n">
        <v>45450</v>
      </c>
      <c r="C326" s="1" t="n">
        <v>45812</v>
      </c>
      <c r="D326" t="inlineStr">
        <is>
          <t>ÖREBRO LÄN</t>
        </is>
      </c>
      <c r="E326" t="inlineStr">
        <is>
          <t>LEKEBERG</t>
        </is>
      </c>
      <c r="G326" t="n">
        <v>0.8</v>
      </c>
      <c r="H326" t="n">
        <v>0</v>
      </c>
      <c r="I326" t="n">
        <v>0</v>
      </c>
      <c r="J326" t="n">
        <v>0</v>
      </c>
      <c r="K326" t="n">
        <v>0</v>
      </c>
      <c r="L326" t="n">
        <v>0</v>
      </c>
      <c r="M326" t="n">
        <v>0</v>
      </c>
      <c r="N326" t="n">
        <v>0</v>
      </c>
      <c r="O326" t="n">
        <v>0</v>
      </c>
      <c r="P326" t="n">
        <v>0</v>
      </c>
      <c r="Q326" t="n">
        <v>0</v>
      </c>
      <c r="R326" s="2" t="inlineStr"/>
    </row>
    <row r="327" ht="15" customHeight="1">
      <c r="A327" t="inlineStr">
        <is>
          <t>A 23378-2024</t>
        </is>
      </c>
      <c r="B327" s="1" t="n">
        <v>45453</v>
      </c>
      <c r="C327" s="1" t="n">
        <v>45812</v>
      </c>
      <c r="D327" t="inlineStr">
        <is>
          <t>ÖREBRO LÄN</t>
        </is>
      </c>
      <c r="E327" t="inlineStr">
        <is>
          <t>LEKEBERG</t>
        </is>
      </c>
      <c r="G327" t="n">
        <v>1</v>
      </c>
      <c r="H327" t="n">
        <v>0</v>
      </c>
      <c r="I327" t="n">
        <v>0</v>
      </c>
      <c r="J327" t="n">
        <v>0</v>
      </c>
      <c r="K327" t="n">
        <v>0</v>
      </c>
      <c r="L327" t="n">
        <v>0</v>
      </c>
      <c r="M327" t="n">
        <v>0</v>
      </c>
      <c r="N327" t="n">
        <v>0</v>
      </c>
      <c r="O327" t="n">
        <v>0</v>
      </c>
      <c r="P327" t="n">
        <v>0</v>
      </c>
      <c r="Q327" t="n">
        <v>0</v>
      </c>
      <c r="R327" s="2" t="inlineStr"/>
    </row>
    <row r="328" ht="15" customHeight="1">
      <c r="A328" t="inlineStr">
        <is>
          <t>A 23389-2024</t>
        </is>
      </c>
      <c r="B328" s="1" t="n">
        <v>45453</v>
      </c>
      <c r="C328" s="1" t="n">
        <v>45812</v>
      </c>
      <c r="D328" t="inlineStr">
        <is>
          <t>ÖREBRO LÄN</t>
        </is>
      </c>
      <c r="E328" t="inlineStr">
        <is>
          <t>LEKEBERG</t>
        </is>
      </c>
      <c r="G328" t="n">
        <v>1.8</v>
      </c>
      <c r="H328" t="n">
        <v>0</v>
      </c>
      <c r="I328" t="n">
        <v>0</v>
      </c>
      <c r="J328" t="n">
        <v>0</v>
      </c>
      <c r="K328" t="n">
        <v>0</v>
      </c>
      <c r="L328" t="n">
        <v>0</v>
      </c>
      <c r="M328" t="n">
        <v>0</v>
      </c>
      <c r="N328" t="n">
        <v>0</v>
      </c>
      <c r="O328" t="n">
        <v>0</v>
      </c>
      <c r="P328" t="n">
        <v>0</v>
      </c>
      <c r="Q328" t="n">
        <v>0</v>
      </c>
      <c r="R328" s="2" t="inlineStr"/>
    </row>
    <row r="329" ht="15" customHeight="1">
      <c r="A329" t="inlineStr">
        <is>
          <t>A 23909-2024</t>
        </is>
      </c>
      <c r="B329" s="1" t="n">
        <v>45455</v>
      </c>
      <c r="C329" s="1" t="n">
        <v>45812</v>
      </c>
      <c r="D329" t="inlineStr">
        <is>
          <t>ÖREBRO LÄN</t>
        </is>
      </c>
      <c r="E329" t="inlineStr">
        <is>
          <t>LEKEBERG</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23908-2024</t>
        </is>
      </c>
      <c r="B330" s="1" t="n">
        <v>45455</v>
      </c>
      <c r="C330" s="1" t="n">
        <v>45812</v>
      </c>
      <c r="D330" t="inlineStr">
        <is>
          <t>ÖREBRO LÄN</t>
        </is>
      </c>
      <c r="E330" t="inlineStr">
        <is>
          <t>LEKEBERG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23911-2024</t>
        </is>
      </c>
      <c r="B331" s="1" t="n">
        <v>45455</v>
      </c>
      <c r="C331" s="1" t="n">
        <v>45812</v>
      </c>
      <c r="D331" t="inlineStr">
        <is>
          <t>ÖREBRO LÄN</t>
        </is>
      </c>
      <c r="E331" t="inlineStr">
        <is>
          <t>LEKEBERG</t>
        </is>
      </c>
      <c r="F331" t="inlineStr">
        <is>
          <t>Kyrkan</t>
        </is>
      </c>
      <c r="G331" t="n">
        <v>0.5</v>
      </c>
      <c r="H331" t="n">
        <v>0</v>
      </c>
      <c r="I331" t="n">
        <v>0</v>
      </c>
      <c r="J331" t="n">
        <v>0</v>
      </c>
      <c r="K331" t="n">
        <v>0</v>
      </c>
      <c r="L331" t="n">
        <v>0</v>
      </c>
      <c r="M331" t="n">
        <v>0</v>
      </c>
      <c r="N331" t="n">
        <v>0</v>
      </c>
      <c r="O331" t="n">
        <v>0</v>
      </c>
      <c r="P331" t="n">
        <v>0</v>
      </c>
      <c r="Q331" t="n">
        <v>0</v>
      </c>
      <c r="R331" s="2" t="inlineStr"/>
    </row>
    <row r="332" ht="15" customHeight="1">
      <c r="A332" t="inlineStr">
        <is>
          <t>A 26388-2024</t>
        </is>
      </c>
      <c r="B332" s="1" t="n">
        <v>45469</v>
      </c>
      <c r="C332" s="1" t="n">
        <v>45812</v>
      </c>
      <c r="D332" t="inlineStr">
        <is>
          <t>ÖREBRO LÄN</t>
        </is>
      </c>
      <c r="E332" t="inlineStr">
        <is>
          <t>LEKEBERG</t>
        </is>
      </c>
      <c r="G332" t="n">
        <v>2.8</v>
      </c>
      <c r="H332" t="n">
        <v>0</v>
      </c>
      <c r="I332" t="n">
        <v>0</v>
      </c>
      <c r="J332" t="n">
        <v>0</v>
      </c>
      <c r="K332" t="n">
        <v>0</v>
      </c>
      <c r="L332" t="n">
        <v>0</v>
      </c>
      <c r="M332" t="n">
        <v>0</v>
      </c>
      <c r="N332" t="n">
        <v>0</v>
      </c>
      <c r="O332" t="n">
        <v>0</v>
      </c>
      <c r="P332" t="n">
        <v>0</v>
      </c>
      <c r="Q332" t="n">
        <v>0</v>
      </c>
      <c r="R332" s="2" t="inlineStr"/>
    </row>
    <row r="333" ht="15" customHeight="1">
      <c r="A333" t="inlineStr">
        <is>
          <t>A 28824-2024</t>
        </is>
      </c>
      <c r="B333" s="1" t="n">
        <v>45478</v>
      </c>
      <c r="C333" s="1" t="n">
        <v>45812</v>
      </c>
      <c r="D333" t="inlineStr">
        <is>
          <t>ÖREBRO LÄN</t>
        </is>
      </c>
      <c r="E333" t="inlineStr">
        <is>
          <t>LEKEBERG</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29444-2024</t>
        </is>
      </c>
      <c r="B334" s="1" t="n">
        <v>45483</v>
      </c>
      <c r="C334" s="1" t="n">
        <v>45812</v>
      </c>
      <c r="D334" t="inlineStr">
        <is>
          <t>ÖREBRO LÄN</t>
        </is>
      </c>
      <c r="E334" t="inlineStr">
        <is>
          <t>LEKEBERG</t>
        </is>
      </c>
      <c r="G334" t="n">
        <v>4</v>
      </c>
      <c r="H334" t="n">
        <v>0</v>
      </c>
      <c r="I334" t="n">
        <v>0</v>
      </c>
      <c r="J334" t="n">
        <v>0</v>
      </c>
      <c r="K334" t="n">
        <v>0</v>
      </c>
      <c r="L334" t="n">
        <v>0</v>
      </c>
      <c r="M334" t="n">
        <v>0</v>
      </c>
      <c r="N334" t="n">
        <v>0</v>
      </c>
      <c r="O334" t="n">
        <v>0</v>
      </c>
      <c r="P334" t="n">
        <v>0</v>
      </c>
      <c r="Q334" t="n">
        <v>0</v>
      </c>
      <c r="R334" s="2" t="inlineStr"/>
    </row>
    <row r="335" ht="15" customHeight="1">
      <c r="A335" t="inlineStr">
        <is>
          <t>A 32021-2024</t>
        </is>
      </c>
      <c r="B335" s="1" t="n">
        <v>45510</v>
      </c>
      <c r="C335" s="1" t="n">
        <v>45812</v>
      </c>
      <c r="D335" t="inlineStr">
        <is>
          <t>ÖREBRO LÄN</t>
        </is>
      </c>
      <c r="E335" t="inlineStr">
        <is>
          <t>LEKEBERG</t>
        </is>
      </c>
      <c r="G335" t="n">
        <v>5.2</v>
      </c>
      <c r="H335" t="n">
        <v>0</v>
      </c>
      <c r="I335" t="n">
        <v>0</v>
      </c>
      <c r="J335" t="n">
        <v>0</v>
      </c>
      <c r="K335" t="n">
        <v>0</v>
      </c>
      <c r="L335" t="n">
        <v>0</v>
      </c>
      <c r="M335" t="n">
        <v>0</v>
      </c>
      <c r="N335" t="n">
        <v>0</v>
      </c>
      <c r="O335" t="n">
        <v>0</v>
      </c>
      <c r="P335" t="n">
        <v>0</v>
      </c>
      <c r="Q335" t="n">
        <v>0</v>
      </c>
      <c r="R335" s="2" t="inlineStr"/>
    </row>
    <row r="336" ht="15" customHeight="1">
      <c r="A336" t="inlineStr">
        <is>
          <t>A 33105-2024</t>
        </is>
      </c>
      <c r="B336" s="1" t="n">
        <v>45517</v>
      </c>
      <c r="C336" s="1" t="n">
        <v>45812</v>
      </c>
      <c r="D336" t="inlineStr">
        <is>
          <t>ÖREBRO LÄN</t>
        </is>
      </c>
      <c r="E336" t="inlineStr">
        <is>
          <t>LEKEBERG</t>
        </is>
      </c>
      <c r="G336" t="n">
        <v>2.5</v>
      </c>
      <c r="H336" t="n">
        <v>0</v>
      </c>
      <c r="I336" t="n">
        <v>0</v>
      </c>
      <c r="J336" t="n">
        <v>0</v>
      </c>
      <c r="K336" t="n">
        <v>0</v>
      </c>
      <c r="L336" t="n">
        <v>0</v>
      </c>
      <c r="M336" t="n">
        <v>0</v>
      </c>
      <c r="N336" t="n">
        <v>0</v>
      </c>
      <c r="O336" t="n">
        <v>0</v>
      </c>
      <c r="P336" t="n">
        <v>0</v>
      </c>
      <c r="Q336" t="n">
        <v>0</v>
      </c>
      <c r="R336" s="2" t="inlineStr"/>
    </row>
    <row r="337" ht="15" customHeight="1">
      <c r="A337" t="inlineStr">
        <is>
          <t>A 33106-2024</t>
        </is>
      </c>
      <c r="B337" s="1" t="n">
        <v>45517</v>
      </c>
      <c r="C337" s="1" t="n">
        <v>45812</v>
      </c>
      <c r="D337" t="inlineStr">
        <is>
          <t>ÖREBRO LÄN</t>
        </is>
      </c>
      <c r="E337" t="inlineStr">
        <is>
          <t>LEKEBERG</t>
        </is>
      </c>
      <c r="G337" t="n">
        <v>1.6</v>
      </c>
      <c r="H337" t="n">
        <v>0</v>
      </c>
      <c r="I337" t="n">
        <v>0</v>
      </c>
      <c r="J337" t="n">
        <v>0</v>
      </c>
      <c r="K337" t="n">
        <v>0</v>
      </c>
      <c r="L337" t="n">
        <v>0</v>
      </c>
      <c r="M337" t="n">
        <v>0</v>
      </c>
      <c r="N337" t="n">
        <v>0</v>
      </c>
      <c r="O337" t="n">
        <v>0</v>
      </c>
      <c r="P337" t="n">
        <v>0</v>
      </c>
      <c r="Q337" t="n">
        <v>0</v>
      </c>
      <c r="R337" s="2" t="inlineStr"/>
    </row>
    <row r="338" ht="15" customHeight="1">
      <c r="A338" t="inlineStr">
        <is>
          <t>A 36435-2024</t>
        </is>
      </c>
      <c r="B338" s="1" t="n">
        <v>45535</v>
      </c>
      <c r="C338" s="1" t="n">
        <v>45812</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37042-2024</t>
        </is>
      </c>
      <c r="B339" s="1" t="n">
        <v>45539</v>
      </c>
      <c r="C339" s="1" t="n">
        <v>45812</v>
      </c>
      <c r="D339" t="inlineStr">
        <is>
          <t>ÖREBRO LÄN</t>
        </is>
      </c>
      <c r="E339" t="inlineStr">
        <is>
          <t>LEKEBERG</t>
        </is>
      </c>
      <c r="G339" t="n">
        <v>2.4</v>
      </c>
      <c r="H339" t="n">
        <v>0</v>
      </c>
      <c r="I339" t="n">
        <v>0</v>
      </c>
      <c r="J339" t="n">
        <v>0</v>
      </c>
      <c r="K339" t="n">
        <v>0</v>
      </c>
      <c r="L339" t="n">
        <v>0</v>
      </c>
      <c r="M339" t="n">
        <v>0</v>
      </c>
      <c r="N339" t="n">
        <v>0</v>
      </c>
      <c r="O339" t="n">
        <v>0</v>
      </c>
      <c r="P339" t="n">
        <v>0</v>
      </c>
      <c r="Q339" t="n">
        <v>0</v>
      </c>
      <c r="R339" s="2" t="inlineStr"/>
    </row>
    <row r="340" ht="15" customHeight="1">
      <c r="A340" t="inlineStr">
        <is>
          <t>A 37450-2024</t>
        </is>
      </c>
      <c r="B340" s="1" t="n">
        <v>45540</v>
      </c>
      <c r="C340" s="1" t="n">
        <v>45812</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37425-2024</t>
        </is>
      </c>
      <c r="B341" s="1" t="n">
        <v>45540</v>
      </c>
      <c r="C341" s="1" t="n">
        <v>45812</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37564-2024</t>
        </is>
      </c>
      <c r="B342" s="1" t="n">
        <v>45541</v>
      </c>
      <c r="C342" s="1" t="n">
        <v>45812</v>
      </c>
      <c r="D342" t="inlineStr">
        <is>
          <t>ÖREBRO LÄN</t>
        </is>
      </c>
      <c r="E342" t="inlineStr">
        <is>
          <t>LEKEBERG</t>
        </is>
      </c>
      <c r="G342" t="n">
        <v>11.1</v>
      </c>
      <c r="H342" t="n">
        <v>0</v>
      </c>
      <c r="I342" t="n">
        <v>0</v>
      </c>
      <c r="J342" t="n">
        <v>0</v>
      </c>
      <c r="K342" t="n">
        <v>0</v>
      </c>
      <c r="L342" t="n">
        <v>0</v>
      </c>
      <c r="M342" t="n">
        <v>0</v>
      </c>
      <c r="N342" t="n">
        <v>0</v>
      </c>
      <c r="O342" t="n">
        <v>0</v>
      </c>
      <c r="P342" t="n">
        <v>0</v>
      </c>
      <c r="Q342" t="n">
        <v>0</v>
      </c>
      <c r="R342" s="2" t="inlineStr"/>
    </row>
    <row r="343" ht="15" customHeight="1">
      <c r="A343" t="inlineStr">
        <is>
          <t>A 37598-2024</t>
        </is>
      </c>
      <c r="B343" s="1" t="n">
        <v>45541</v>
      </c>
      <c r="C343" s="1" t="n">
        <v>45812</v>
      </c>
      <c r="D343" t="inlineStr">
        <is>
          <t>ÖREBRO LÄN</t>
        </is>
      </c>
      <c r="E343" t="inlineStr">
        <is>
          <t>LEKEBERG</t>
        </is>
      </c>
      <c r="G343" t="n">
        <v>1.7</v>
      </c>
      <c r="H343" t="n">
        <v>0</v>
      </c>
      <c r="I343" t="n">
        <v>0</v>
      </c>
      <c r="J343" t="n">
        <v>0</v>
      </c>
      <c r="K343" t="n">
        <v>0</v>
      </c>
      <c r="L343" t="n">
        <v>0</v>
      </c>
      <c r="M343" t="n">
        <v>0</v>
      </c>
      <c r="N343" t="n">
        <v>0</v>
      </c>
      <c r="O343" t="n">
        <v>0</v>
      </c>
      <c r="P343" t="n">
        <v>0</v>
      </c>
      <c r="Q343" t="n">
        <v>0</v>
      </c>
      <c r="R343" s="2" t="inlineStr"/>
    </row>
    <row r="344" ht="15" customHeight="1">
      <c r="A344" t="inlineStr">
        <is>
          <t>A 39607-2024</t>
        </is>
      </c>
      <c r="B344" s="1" t="n">
        <v>45552</v>
      </c>
      <c r="C344" s="1" t="n">
        <v>45812</v>
      </c>
      <c r="D344" t="inlineStr">
        <is>
          <t>ÖREBRO LÄN</t>
        </is>
      </c>
      <c r="E344" t="inlineStr">
        <is>
          <t>LEKEBERG</t>
        </is>
      </c>
      <c r="G344" t="n">
        <v>0.7</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45812</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39873-2024</t>
        </is>
      </c>
      <c r="B346" s="1" t="n">
        <v>45553</v>
      </c>
      <c r="C346" s="1" t="n">
        <v>45812</v>
      </c>
      <c r="D346" t="inlineStr">
        <is>
          <t>ÖREBRO LÄN</t>
        </is>
      </c>
      <c r="E346" t="inlineStr">
        <is>
          <t>LEKEBERG</t>
        </is>
      </c>
      <c r="F346" t="inlineStr">
        <is>
          <t>Sveaskog</t>
        </is>
      </c>
      <c r="G346" t="n">
        <v>3.2</v>
      </c>
      <c r="H346" t="n">
        <v>0</v>
      </c>
      <c r="I346" t="n">
        <v>0</v>
      </c>
      <c r="J346" t="n">
        <v>0</v>
      </c>
      <c r="K346" t="n">
        <v>0</v>
      </c>
      <c r="L346" t="n">
        <v>0</v>
      </c>
      <c r="M346" t="n">
        <v>0</v>
      </c>
      <c r="N346" t="n">
        <v>0</v>
      </c>
      <c r="O346" t="n">
        <v>0</v>
      </c>
      <c r="P346" t="n">
        <v>0</v>
      </c>
      <c r="Q346" t="n">
        <v>0</v>
      </c>
      <c r="R346" s="2" t="inlineStr"/>
      <c r="U346">
        <f>HYPERLINK("https://klasma.github.io/Logging_1814/knärot/A 39873-2024 karta knärot.png", "A 39873-2024")</f>
        <v/>
      </c>
      <c r="V346">
        <f>HYPERLINK("https://klasma.github.io/Logging_1814/klagomål/A 39873-2024 FSC-klagomål.docx", "A 39873-2024")</f>
        <v/>
      </c>
      <c r="W346">
        <f>HYPERLINK("https://klasma.github.io/Logging_1814/klagomålsmail/A 39873-2024 FSC-klagomål mail.docx", "A 39873-2024")</f>
        <v/>
      </c>
      <c r="X346">
        <f>HYPERLINK("https://klasma.github.io/Logging_1814/tillsyn/A 39873-2024 tillsynsbegäran.docx", "A 39873-2024")</f>
        <v/>
      </c>
      <c r="Y346">
        <f>HYPERLINK("https://klasma.github.io/Logging_1814/tillsynsmail/A 39873-2024 tillsynsbegäran mail.docx", "A 39873-2024")</f>
        <v/>
      </c>
    </row>
    <row r="347" ht="15" customHeight="1">
      <c r="A347" t="inlineStr">
        <is>
          <t>A 39878-2024</t>
        </is>
      </c>
      <c r="B347" s="1" t="n">
        <v>45553</v>
      </c>
      <c r="C347" s="1" t="n">
        <v>45812</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39867-2024</t>
        </is>
      </c>
      <c r="B348" s="1" t="n">
        <v>45553</v>
      </c>
      <c r="C348" s="1" t="n">
        <v>45812</v>
      </c>
      <c r="D348" t="inlineStr">
        <is>
          <t>ÖREBRO LÄN</t>
        </is>
      </c>
      <c r="E348" t="inlineStr">
        <is>
          <t>LEKEBERG</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39871-2024</t>
        </is>
      </c>
      <c r="B349" s="1" t="n">
        <v>45553</v>
      </c>
      <c r="C349" s="1" t="n">
        <v>45812</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39875-2024</t>
        </is>
      </c>
      <c r="B350" s="1" t="n">
        <v>45553</v>
      </c>
      <c r="C350" s="1" t="n">
        <v>45812</v>
      </c>
      <c r="D350" t="inlineStr">
        <is>
          <t>ÖREBRO LÄN</t>
        </is>
      </c>
      <c r="E350" t="inlineStr">
        <is>
          <t>LEKEBERG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40240-2024</t>
        </is>
      </c>
      <c r="B351" s="1" t="n">
        <v>45554</v>
      </c>
      <c r="C351" s="1" t="n">
        <v>45812</v>
      </c>
      <c r="D351" t="inlineStr">
        <is>
          <t>ÖREBRO LÄN</t>
        </is>
      </c>
      <c r="E351" t="inlineStr">
        <is>
          <t>LEKEBERG</t>
        </is>
      </c>
      <c r="G351" t="n">
        <v>3.6</v>
      </c>
      <c r="H351" t="n">
        <v>0</v>
      </c>
      <c r="I351" t="n">
        <v>0</v>
      </c>
      <c r="J351" t="n">
        <v>0</v>
      </c>
      <c r="K351" t="n">
        <v>0</v>
      </c>
      <c r="L351" t="n">
        <v>0</v>
      </c>
      <c r="M351" t="n">
        <v>0</v>
      </c>
      <c r="N351" t="n">
        <v>0</v>
      </c>
      <c r="O351" t="n">
        <v>0</v>
      </c>
      <c r="P351" t="n">
        <v>0</v>
      </c>
      <c r="Q351" t="n">
        <v>0</v>
      </c>
      <c r="R351" s="2" t="inlineStr"/>
    </row>
    <row r="352" ht="15" customHeight="1">
      <c r="A352" t="inlineStr">
        <is>
          <t>A 40329-2024</t>
        </is>
      </c>
      <c r="B352" s="1" t="n">
        <v>45555</v>
      </c>
      <c r="C352" s="1" t="n">
        <v>45812</v>
      </c>
      <c r="D352" t="inlineStr">
        <is>
          <t>ÖREBRO LÄN</t>
        </is>
      </c>
      <c r="E352" t="inlineStr">
        <is>
          <t>LEKEBERG</t>
        </is>
      </c>
      <c r="G352" t="n">
        <v>1.2</v>
      </c>
      <c r="H352" t="n">
        <v>0</v>
      </c>
      <c r="I352" t="n">
        <v>0</v>
      </c>
      <c r="J352" t="n">
        <v>0</v>
      </c>
      <c r="K352" t="n">
        <v>0</v>
      </c>
      <c r="L352" t="n">
        <v>0</v>
      </c>
      <c r="M352" t="n">
        <v>0</v>
      </c>
      <c r="N352" t="n">
        <v>0</v>
      </c>
      <c r="O352" t="n">
        <v>0</v>
      </c>
      <c r="P352" t="n">
        <v>0</v>
      </c>
      <c r="Q352" t="n">
        <v>0</v>
      </c>
      <c r="R352" s="2" t="inlineStr"/>
    </row>
    <row r="353" ht="15" customHeight="1">
      <c r="A353" t="inlineStr">
        <is>
          <t>A 41008-2024</t>
        </is>
      </c>
      <c r="B353" s="1" t="n">
        <v>45559</v>
      </c>
      <c r="C353" s="1" t="n">
        <v>45812</v>
      </c>
      <c r="D353" t="inlineStr">
        <is>
          <t>ÖREBRO LÄN</t>
        </is>
      </c>
      <c r="E353" t="inlineStr">
        <is>
          <t>LEKEBERG</t>
        </is>
      </c>
      <c r="G353" t="n">
        <v>2.6</v>
      </c>
      <c r="H353" t="n">
        <v>0</v>
      </c>
      <c r="I353" t="n">
        <v>0</v>
      </c>
      <c r="J353" t="n">
        <v>0</v>
      </c>
      <c r="K353" t="n">
        <v>0</v>
      </c>
      <c r="L353" t="n">
        <v>0</v>
      </c>
      <c r="M353" t="n">
        <v>0</v>
      </c>
      <c r="N353" t="n">
        <v>0</v>
      </c>
      <c r="O353" t="n">
        <v>0</v>
      </c>
      <c r="P353" t="n">
        <v>0</v>
      </c>
      <c r="Q353" t="n">
        <v>0</v>
      </c>
      <c r="R353" s="2" t="inlineStr"/>
    </row>
    <row r="354" ht="15" customHeight="1">
      <c r="A354" t="inlineStr">
        <is>
          <t>A 41252-2024</t>
        </is>
      </c>
      <c r="B354" s="1" t="n">
        <v>45559</v>
      </c>
      <c r="C354" s="1" t="n">
        <v>45812</v>
      </c>
      <c r="D354" t="inlineStr">
        <is>
          <t>ÖREBRO LÄN</t>
        </is>
      </c>
      <c r="E354" t="inlineStr">
        <is>
          <t>LEKEBERG</t>
        </is>
      </c>
      <c r="G354" t="n">
        <v>1.1</v>
      </c>
      <c r="H354" t="n">
        <v>0</v>
      </c>
      <c r="I354" t="n">
        <v>0</v>
      </c>
      <c r="J354" t="n">
        <v>0</v>
      </c>
      <c r="K354" t="n">
        <v>0</v>
      </c>
      <c r="L354" t="n">
        <v>0</v>
      </c>
      <c r="M354" t="n">
        <v>0</v>
      </c>
      <c r="N354" t="n">
        <v>0</v>
      </c>
      <c r="O354" t="n">
        <v>0</v>
      </c>
      <c r="P354" t="n">
        <v>0</v>
      </c>
      <c r="Q354" t="n">
        <v>0</v>
      </c>
      <c r="R354" s="2" t="inlineStr"/>
    </row>
    <row r="355" ht="15" customHeight="1">
      <c r="A355" t="inlineStr">
        <is>
          <t>A 41236-2024</t>
        </is>
      </c>
      <c r="B355" s="1" t="n">
        <v>45559</v>
      </c>
      <c r="C355" s="1" t="n">
        <v>45812</v>
      </c>
      <c r="D355" t="inlineStr">
        <is>
          <t>ÖREBRO LÄN</t>
        </is>
      </c>
      <c r="E355" t="inlineStr">
        <is>
          <t>LEKEBERG</t>
        </is>
      </c>
      <c r="G355" t="n">
        <v>0.8</v>
      </c>
      <c r="H355" t="n">
        <v>0</v>
      </c>
      <c r="I355" t="n">
        <v>0</v>
      </c>
      <c r="J355" t="n">
        <v>0</v>
      </c>
      <c r="K355" t="n">
        <v>0</v>
      </c>
      <c r="L355" t="n">
        <v>0</v>
      </c>
      <c r="M355" t="n">
        <v>0</v>
      </c>
      <c r="N355" t="n">
        <v>0</v>
      </c>
      <c r="O355" t="n">
        <v>0</v>
      </c>
      <c r="P355" t="n">
        <v>0</v>
      </c>
      <c r="Q355" t="n">
        <v>0</v>
      </c>
      <c r="R355" s="2" t="inlineStr"/>
    </row>
    <row r="356" ht="15" customHeight="1">
      <c r="A356" t="inlineStr">
        <is>
          <t>A 41233-2024</t>
        </is>
      </c>
      <c r="B356" s="1" t="n">
        <v>45559</v>
      </c>
      <c r="C356" s="1" t="n">
        <v>45812</v>
      </c>
      <c r="D356" t="inlineStr">
        <is>
          <t>ÖREBRO LÄN</t>
        </is>
      </c>
      <c r="E356" t="inlineStr">
        <is>
          <t>LEKEBERG</t>
        </is>
      </c>
      <c r="G356" t="n">
        <v>0.6</v>
      </c>
      <c r="H356" t="n">
        <v>0</v>
      </c>
      <c r="I356" t="n">
        <v>0</v>
      </c>
      <c r="J356" t="n">
        <v>0</v>
      </c>
      <c r="K356" t="n">
        <v>0</v>
      </c>
      <c r="L356" t="n">
        <v>0</v>
      </c>
      <c r="M356" t="n">
        <v>0</v>
      </c>
      <c r="N356" t="n">
        <v>0</v>
      </c>
      <c r="O356" t="n">
        <v>0</v>
      </c>
      <c r="P356" t="n">
        <v>0</v>
      </c>
      <c r="Q356" t="n">
        <v>0</v>
      </c>
      <c r="R356" s="2" t="inlineStr"/>
    </row>
    <row r="357" ht="15" customHeight="1">
      <c r="A357" t="inlineStr">
        <is>
          <t>A 41549-2024</t>
        </is>
      </c>
      <c r="B357" s="1" t="n">
        <v>45560</v>
      </c>
      <c r="C357" s="1" t="n">
        <v>45812</v>
      </c>
      <c r="D357" t="inlineStr">
        <is>
          <t>ÖREBRO LÄN</t>
        </is>
      </c>
      <c r="E357" t="inlineStr">
        <is>
          <t>LEKEBERG</t>
        </is>
      </c>
      <c r="G357" t="n">
        <v>0.5</v>
      </c>
      <c r="H357" t="n">
        <v>0</v>
      </c>
      <c r="I357" t="n">
        <v>0</v>
      </c>
      <c r="J357" t="n">
        <v>0</v>
      </c>
      <c r="K357" t="n">
        <v>0</v>
      </c>
      <c r="L357" t="n">
        <v>0</v>
      </c>
      <c r="M357" t="n">
        <v>0</v>
      </c>
      <c r="N357" t="n">
        <v>0</v>
      </c>
      <c r="O357" t="n">
        <v>0</v>
      </c>
      <c r="P357" t="n">
        <v>0</v>
      </c>
      <c r="Q357" t="n">
        <v>0</v>
      </c>
      <c r="R357" s="2" t="inlineStr"/>
    </row>
    <row r="358" ht="15" customHeight="1">
      <c r="A358" t="inlineStr">
        <is>
          <t>A 41551-2024</t>
        </is>
      </c>
      <c r="B358" s="1" t="n">
        <v>45560</v>
      </c>
      <c r="C358" s="1" t="n">
        <v>45812</v>
      </c>
      <c r="D358" t="inlineStr">
        <is>
          <t>ÖREBRO LÄN</t>
        </is>
      </c>
      <c r="E358" t="inlineStr">
        <is>
          <t>LEKEBERG</t>
        </is>
      </c>
      <c r="G358" t="n">
        <v>0.4</v>
      </c>
      <c r="H358" t="n">
        <v>0</v>
      </c>
      <c r="I358" t="n">
        <v>0</v>
      </c>
      <c r="J358" t="n">
        <v>0</v>
      </c>
      <c r="K358" t="n">
        <v>0</v>
      </c>
      <c r="L358" t="n">
        <v>0</v>
      </c>
      <c r="M358" t="n">
        <v>0</v>
      </c>
      <c r="N358" t="n">
        <v>0</v>
      </c>
      <c r="O358" t="n">
        <v>0</v>
      </c>
      <c r="P358" t="n">
        <v>0</v>
      </c>
      <c r="Q358" t="n">
        <v>0</v>
      </c>
      <c r="R358" s="2" t="inlineStr"/>
    </row>
    <row r="359" ht="15" customHeight="1">
      <c r="A359" t="inlineStr">
        <is>
          <t>A 42604-2024</t>
        </is>
      </c>
      <c r="B359" s="1" t="n">
        <v>45565</v>
      </c>
      <c r="C359" s="1" t="n">
        <v>45812</v>
      </c>
      <c r="D359" t="inlineStr">
        <is>
          <t>ÖREBRO LÄN</t>
        </is>
      </c>
      <c r="E359" t="inlineStr">
        <is>
          <t>LEKEBERG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44650-2024</t>
        </is>
      </c>
      <c r="B360" s="1" t="n">
        <v>45574</v>
      </c>
      <c r="C360" s="1" t="n">
        <v>45812</v>
      </c>
      <c r="D360" t="inlineStr">
        <is>
          <t>ÖREBRO LÄN</t>
        </is>
      </c>
      <c r="E360" t="inlineStr">
        <is>
          <t>LEKEBERG</t>
        </is>
      </c>
      <c r="G360" t="n">
        <v>8</v>
      </c>
      <c r="H360" t="n">
        <v>0</v>
      </c>
      <c r="I360" t="n">
        <v>0</v>
      </c>
      <c r="J360" t="n">
        <v>0</v>
      </c>
      <c r="K360" t="n">
        <v>0</v>
      </c>
      <c r="L360" t="n">
        <v>0</v>
      </c>
      <c r="M360" t="n">
        <v>0</v>
      </c>
      <c r="N360" t="n">
        <v>0</v>
      </c>
      <c r="O360" t="n">
        <v>0</v>
      </c>
      <c r="P360" t="n">
        <v>0</v>
      </c>
      <c r="Q360" t="n">
        <v>0</v>
      </c>
      <c r="R360" s="2" t="inlineStr"/>
    </row>
    <row r="361" ht="15" customHeight="1">
      <c r="A361" t="inlineStr">
        <is>
          <t>A 46779-2024</t>
        </is>
      </c>
      <c r="B361" s="1" t="n">
        <v>45583</v>
      </c>
      <c r="C361" s="1" t="n">
        <v>45812</v>
      </c>
      <c r="D361" t="inlineStr">
        <is>
          <t>ÖREBRO LÄN</t>
        </is>
      </c>
      <c r="E361" t="inlineStr">
        <is>
          <t>LEKEBERG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46815-2024</t>
        </is>
      </c>
      <c r="B362" s="1" t="n">
        <v>45583</v>
      </c>
      <c r="C362" s="1" t="n">
        <v>45812</v>
      </c>
      <c r="D362" t="inlineStr">
        <is>
          <t>ÖREBRO LÄN</t>
        </is>
      </c>
      <c r="E362" t="inlineStr">
        <is>
          <t>LEKEBERG</t>
        </is>
      </c>
      <c r="G362" t="n">
        <v>10.1</v>
      </c>
      <c r="H362" t="n">
        <v>0</v>
      </c>
      <c r="I362" t="n">
        <v>0</v>
      </c>
      <c r="J362" t="n">
        <v>0</v>
      </c>
      <c r="K362" t="n">
        <v>0</v>
      </c>
      <c r="L362" t="n">
        <v>0</v>
      </c>
      <c r="M362" t="n">
        <v>0</v>
      </c>
      <c r="N362" t="n">
        <v>0</v>
      </c>
      <c r="O362" t="n">
        <v>0</v>
      </c>
      <c r="P362" t="n">
        <v>0</v>
      </c>
      <c r="Q362" t="n">
        <v>0</v>
      </c>
      <c r="R362" s="2" t="inlineStr"/>
    </row>
    <row r="363" ht="15" customHeight="1">
      <c r="A363" t="inlineStr">
        <is>
          <t>A 47584-2024</t>
        </is>
      </c>
      <c r="B363" s="1" t="n">
        <v>45587</v>
      </c>
      <c r="C363" s="1" t="n">
        <v>45812</v>
      </c>
      <c r="D363" t="inlineStr">
        <is>
          <t>ÖREBRO LÄN</t>
        </is>
      </c>
      <c r="E363" t="inlineStr">
        <is>
          <t>LEKEBERG</t>
        </is>
      </c>
      <c r="G363" t="n">
        <v>1.4</v>
      </c>
      <c r="H363" t="n">
        <v>0</v>
      </c>
      <c r="I363" t="n">
        <v>0</v>
      </c>
      <c r="J363" t="n">
        <v>0</v>
      </c>
      <c r="K363" t="n">
        <v>0</v>
      </c>
      <c r="L363" t="n">
        <v>0</v>
      </c>
      <c r="M363" t="n">
        <v>0</v>
      </c>
      <c r="N363" t="n">
        <v>0</v>
      </c>
      <c r="O363" t="n">
        <v>0</v>
      </c>
      <c r="P363" t="n">
        <v>0</v>
      </c>
      <c r="Q363" t="n">
        <v>0</v>
      </c>
      <c r="R363" s="2" t="inlineStr"/>
    </row>
    <row r="364" ht="15" customHeight="1">
      <c r="A364" t="inlineStr">
        <is>
          <t>A 50104-2024</t>
        </is>
      </c>
      <c r="B364" s="1" t="n">
        <v>45600</v>
      </c>
      <c r="C364" s="1" t="n">
        <v>45812</v>
      </c>
      <c r="D364" t="inlineStr">
        <is>
          <t>ÖREBRO LÄN</t>
        </is>
      </c>
      <c r="E364" t="inlineStr">
        <is>
          <t>LEKEBERG</t>
        </is>
      </c>
      <c r="G364" t="n">
        <v>2.1</v>
      </c>
      <c r="H364" t="n">
        <v>0</v>
      </c>
      <c r="I364" t="n">
        <v>0</v>
      </c>
      <c r="J364" t="n">
        <v>0</v>
      </c>
      <c r="K364" t="n">
        <v>0</v>
      </c>
      <c r="L364" t="n">
        <v>0</v>
      </c>
      <c r="M364" t="n">
        <v>0</v>
      </c>
      <c r="N364" t="n">
        <v>0</v>
      </c>
      <c r="O364" t="n">
        <v>0</v>
      </c>
      <c r="P364" t="n">
        <v>0</v>
      </c>
      <c r="Q364" t="n">
        <v>0</v>
      </c>
      <c r="R364" s="2" t="inlineStr"/>
    </row>
    <row r="365" ht="15" customHeight="1">
      <c r="A365" t="inlineStr">
        <is>
          <t>A 50348-2024</t>
        </is>
      </c>
      <c r="B365" s="1" t="n">
        <v>45600</v>
      </c>
      <c r="C365" s="1" t="n">
        <v>45812</v>
      </c>
      <c r="D365" t="inlineStr">
        <is>
          <t>ÖREBRO LÄN</t>
        </is>
      </c>
      <c r="E365" t="inlineStr">
        <is>
          <t>LEKEBERG</t>
        </is>
      </c>
      <c r="G365" t="n">
        <v>1.3</v>
      </c>
      <c r="H365" t="n">
        <v>0</v>
      </c>
      <c r="I365" t="n">
        <v>0</v>
      </c>
      <c r="J365" t="n">
        <v>0</v>
      </c>
      <c r="K365" t="n">
        <v>0</v>
      </c>
      <c r="L365" t="n">
        <v>0</v>
      </c>
      <c r="M365" t="n">
        <v>0</v>
      </c>
      <c r="N365" t="n">
        <v>0</v>
      </c>
      <c r="O365" t="n">
        <v>0</v>
      </c>
      <c r="P365" t="n">
        <v>0</v>
      </c>
      <c r="Q365" t="n">
        <v>0</v>
      </c>
      <c r="R365" s="2" t="inlineStr"/>
    </row>
    <row r="366" ht="15" customHeight="1">
      <c r="A366" t="inlineStr">
        <is>
          <t>A 50405-2024</t>
        </is>
      </c>
      <c r="B366" s="1" t="n">
        <v>45601</v>
      </c>
      <c r="C366" s="1" t="n">
        <v>45812</v>
      </c>
      <c r="D366" t="inlineStr">
        <is>
          <t>ÖREBRO LÄN</t>
        </is>
      </c>
      <c r="E366" t="inlineStr">
        <is>
          <t>LEKEBERG</t>
        </is>
      </c>
      <c r="G366" t="n">
        <v>0.4</v>
      </c>
      <c r="H366" t="n">
        <v>0</v>
      </c>
      <c r="I366" t="n">
        <v>0</v>
      </c>
      <c r="J366" t="n">
        <v>0</v>
      </c>
      <c r="K366" t="n">
        <v>0</v>
      </c>
      <c r="L366" t="n">
        <v>0</v>
      </c>
      <c r="M366" t="n">
        <v>0</v>
      </c>
      <c r="N366" t="n">
        <v>0</v>
      </c>
      <c r="O366" t="n">
        <v>0</v>
      </c>
      <c r="P366" t="n">
        <v>0</v>
      </c>
      <c r="Q366" t="n">
        <v>0</v>
      </c>
      <c r="R366" s="2" t="inlineStr"/>
    </row>
    <row r="367" ht="15" customHeight="1">
      <c r="A367" t="inlineStr">
        <is>
          <t>A 50671-2024</t>
        </is>
      </c>
      <c r="B367" s="1" t="n">
        <v>45601</v>
      </c>
      <c r="C367" s="1" t="n">
        <v>45812</v>
      </c>
      <c r="D367" t="inlineStr">
        <is>
          <t>ÖREBRO LÄN</t>
        </is>
      </c>
      <c r="E367" t="inlineStr">
        <is>
          <t>LEKEBERG</t>
        </is>
      </c>
      <c r="G367" t="n">
        <v>2.8</v>
      </c>
      <c r="H367" t="n">
        <v>0</v>
      </c>
      <c r="I367" t="n">
        <v>0</v>
      </c>
      <c r="J367" t="n">
        <v>0</v>
      </c>
      <c r="K367" t="n">
        <v>0</v>
      </c>
      <c r="L367" t="n">
        <v>0</v>
      </c>
      <c r="M367" t="n">
        <v>0</v>
      </c>
      <c r="N367" t="n">
        <v>0</v>
      </c>
      <c r="O367" t="n">
        <v>0</v>
      </c>
      <c r="P367" t="n">
        <v>0</v>
      </c>
      <c r="Q367" t="n">
        <v>0</v>
      </c>
      <c r="R367" s="2" t="inlineStr"/>
    </row>
    <row r="368" ht="15" customHeight="1">
      <c r="A368" t="inlineStr">
        <is>
          <t>A 52304-2024</t>
        </is>
      </c>
      <c r="B368" s="1" t="n">
        <v>45608</v>
      </c>
      <c r="C368" s="1" t="n">
        <v>45812</v>
      </c>
      <c r="D368" t="inlineStr">
        <is>
          <t>ÖREBRO LÄN</t>
        </is>
      </c>
      <c r="E368" t="inlineStr">
        <is>
          <t>LEKEBERG</t>
        </is>
      </c>
      <c r="G368" t="n">
        <v>2.2</v>
      </c>
      <c r="H368" t="n">
        <v>0</v>
      </c>
      <c r="I368" t="n">
        <v>0</v>
      </c>
      <c r="J368" t="n">
        <v>0</v>
      </c>
      <c r="K368" t="n">
        <v>0</v>
      </c>
      <c r="L368" t="n">
        <v>0</v>
      </c>
      <c r="M368" t="n">
        <v>0</v>
      </c>
      <c r="N368" t="n">
        <v>0</v>
      </c>
      <c r="O368" t="n">
        <v>0</v>
      </c>
      <c r="P368" t="n">
        <v>0</v>
      </c>
      <c r="Q368" t="n">
        <v>0</v>
      </c>
      <c r="R368" s="2" t="inlineStr"/>
    </row>
    <row r="369" ht="15" customHeight="1">
      <c r="A369" t="inlineStr">
        <is>
          <t>A 54227-2024</t>
        </is>
      </c>
      <c r="B369" s="1" t="n">
        <v>45616</v>
      </c>
      <c r="C369" s="1" t="n">
        <v>45812</v>
      </c>
      <c r="D369" t="inlineStr">
        <is>
          <t>ÖREBRO LÄN</t>
        </is>
      </c>
      <c r="E369" t="inlineStr">
        <is>
          <t>LEKEBERG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55727-2024</t>
        </is>
      </c>
      <c r="B370" s="1" t="n">
        <v>45622</v>
      </c>
      <c r="C370" s="1" t="n">
        <v>45812</v>
      </c>
      <c r="D370" t="inlineStr">
        <is>
          <t>ÖREBRO LÄN</t>
        </is>
      </c>
      <c r="E370" t="inlineStr">
        <is>
          <t>LEKEBERG</t>
        </is>
      </c>
      <c r="G370" t="n">
        <v>2.6</v>
      </c>
      <c r="H370" t="n">
        <v>0</v>
      </c>
      <c r="I370" t="n">
        <v>0</v>
      </c>
      <c r="J370" t="n">
        <v>0</v>
      </c>
      <c r="K370" t="n">
        <v>0</v>
      </c>
      <c r="L370" t="n">
        <v>0</v>
      </c>
      <c r="M370" t="n">
        <v>0</v>
      </c>
      <c r="N370" t="n">
        <v>0</v>
      </c>
      <c r="O370" t="n">
        <v>0</v>
      </c>
      <c r="P370" t="n">
        <v>0</v>
      </c>
      <c r="Q370" t="n">
        <v>0</v>
      </c>
      <c r="R370" s="2" t="inlineStr"/>
    </row>
    <row r="371" ht="15" customHeight="1">
      <c r="A371" t="inlineStr">
        <is>
          <t>A 55796-2024</t>
        </is>
      </c>
      <c r="B371" s="1" t="n">
        <v>45623</v>
      </c>
      <c r="C371" s="1" t="n">
        <v>45812</v>
      </c>
      <c r="D371" t="inlineStr">
        <is>
          <t>ÖREBRO LÄN</t>
        </is>
      </c>
      <c r="E371" t="inlineStr">
        <is>
          <t>LEKEBERG</t>
        </is>
      </c>
      <c r="G371" t="n">
        <v>1.3</v>
      </c>
      <c r="H371" t="n">
        <v>0</v>
      </c>
      <c r="I371" t="n">
        <v>0</v>
      </c>
      <c r="J371" t="n">
        <v>0</v>
      </c>
      <c r="K371" t="n">
        <v>0</v>
      </c>
      <c r="L371" t="n">
        <v>0</v>
      </c>
      <c r="M371" t="n">
        <v>0</v>
      </c>
      <c r="N371" t="n">
        <v>0</v>
      </c>
      <c r="O371" t="n">
        <v>0</v>
      </c>
      <c r="P371" t="n">
        <v>0</v>
      </c>
      <c r="Q371" t="n">
        <v>0</v>
      </c>
      <c r="R371" s="2" t="inlineStr"/>
    </row>
    <row r="372" ht="15" customHeight="1">
      <c r="A372" t="inlineStr">
        <is>
          <t>A 57657-2024</t>
        </is>
      </c>
      <c r="B372" s="1" t="n">
        <v>45630</v>
      </c>
      <c r="C372" s="1" t="n">
        <v>45812</v>
      </c>
      <c r="D372" t="inlineStr">
        <is>
          <t>ÖREBRO LÄN</t>
        </is>
      </c>
      <c r="E372" t="inlineStr">
        <is>
          <t>LEKEBERG</t>
        </is>
      </c>
      <c r="G372" t="n">
        <v>1.5</v>
      </c>
      <c r="H372" t="n">
        <v>0</v>
      </c>
      <c r="I372" t="n">
        <v>0</v>
      </c>
      <c r="J372" t="n">
        <v>0</v>
      </c>
      <c r="K372" t="n">
        <v>0</v>
      </c>
      <c r="L372" t="n">
        <v>0</v>
      </c>
      <c r="M372" t="n">
        <v>0</v>
      </c>
      <c r="N372" t="n">
        <v>0</v>
      </c>
      <c r="O372" t="n">
        <v>0</v>
      </c>
      <c r="P372" t="n">
        <v>0</v>
      </c>
      <c r="Q372" t="n">
        <v>0</v>
      </c>
      <c r="R372" s="2" t="inlineStr"/>
    </row>
    <row r="373" ht="15" customHeight="1">
      <c r="A373" t="inlineStr">
        <is>
          <t>A 58548-2024</t>
        </is>
      </c>
      <c r="B373" s="1" t="n">
        <v>45635</v>
      </c>
      <c r="C373" s="1" t="n">
        <v>45812</v>
      </c>
      <c r="D373" t="inlineStr">
        <is>
          <t>ÖREBRO LÄN</t>
        </is>
      </c>
      <c r="E373" t="inlineStr">
        <is>
          <t>LEKEBERG</t>
        </is>
      </c>
      <c r="G373" t="n">
        <v>6.3</v>
      </c>
      <c r="H373" t="n">
        <v>0</v>
      </c>
      <c r="I373" t="n">
        <v>0</v>
      </c>
      <c r="J373" t="n">
        <v>0</v>
      </c>
      <c r="K373" t="n">
        <v>0</v>
      </c>
      <c r="L373" t="n">
        <v>0</v>
      </c>
      <c r="M373" t="n">
        <v>0</v>
      </c>
      <c r="N373" t="n">
        <v>0</v>
      </c>
      <c r="O373" t="n">
        <v>0</v>
      </c>
      <c r="P373" t="n">
        <v>0</v>
      </c>
      <c r="Q373" t="n">
        <v>0</v>
      </c>
      <c r="R373" s="2" t="inlineStr"/>
    </row>
    <row r="374" ht="15" customHeight="1">
      <c r="A374" t="inlineStr">
        <is>
          <t>A 60215-2024</t>
        </is>
      </c>
      <c r="B374" s="1" t="n">
        <v>45642</v>
      </c>
      <c r="C374" s="1" t="n">
        <v>45812</v>
      </c>
      <c r="D374" t="inlineStr">
        <is>
          <t>ÖREBRO LÄN</t>
        </is>
      </c>
      <c r="E374" t="inlineStr">
        <is>
          <t>LEKEBERG</t>
        </is>
      </c>
      <c r="G374" t="n">
        <v>3.3</v>
      </c>
      <c r="H374" t="n">
        <v>0</v>
      </c>
      <c r="I374" t="n">
        <v>0</v>
      </c>
      <c r="J374" t="n">
        <v>0</v>
      </c>
      <c r="K374" t="n">
        <v>0</v>
      </c>
      <c r="L374" t="n">
        <v>0</v>
      </c>
      <c r="M374" t="n">
        <v>0</v>
      </c>
      <c r="N374" t="n">
        <v>0</v>
      </c>
      <c r="O374" t="n">
        <v>0</v>
      </c>
      <c r="P374" t="n">
        <v>0</v>
      </c>
      <c r="Q374" t="n">
        <v>0</v>
      </c>
      <c r="R374" s="2" t="inlineStr"/>
    </row>
    <row r="375" ht="15" customHeight="1">
      <c r="A375" t="inlineStr">
        <is>
          <t>A 61314-2024</t>
        </is>
      </c>
      <c r="B375" s="1" t="n">
        <v>45646</v>
      </c>
      <c r="C375" s="1" t="n">
        <v>45812</v>
      </c>
      <c r="D375" t="inlineStr">
        <is>
          <t>ÖREBRO LÄN</t>
        </is>
      </c>
      <c r="E375" t="inlineStr">
        <is>
          <t>LEKEBERG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61470-2024</t>
        </is>
      </c>
      <c r="B376" s="1" t="n">
        <v>45646</v>
      </c>
      <c r="C376" s="1" t="n">
        <v>45812</v>
      </c>
      <c r="D376" t="inlineStr">
        <is>
          <t>ÖREBRO LÄN</t>
        </is>
      </c>
      <c r="E376" t="inlineStr">
        <is>
          <t>LEKEBERG</t>
        </is>
      </c>
      <c r="G376" t="n">
        <v>5</v>
      </c>
      <c r="H376" t="n">
        <v>0</v>
      </c>
      <c r="I376" t="n">
        <v>0</v>
      </c>
      <c r="J376" t="n">
        <v>0</v>
      </c>
      <c r="K376" t="n">
        <v>0</v>
      </c>
      <c r="L376" t="n">
        <v>0</v>
      </c>
      <c r="M376" t="n">
        <v>0</v>
      </c>
      <c r="N376" t="n">
        <v>0</v>
      </c>
      <c r="O376" t="n">
        <v>0</v>
      </c>
      <c r="P376" t="n">
        <v>0</v>
      </c>
      <c r="Q376" t="n">
        <v>0</v>
      </c>
      <c r="R376" s="2" t="inlineStr"/>
    </row>
    <row r="377" ht="15" customHeight="1">
      <c r="A377" t="inlineStr">
        <is>
          <t>A 61733-2024</t>
        </is>
      </c>
      <c r="B377" s="1" t="n">
        <v>45649</v>
      </c>
      <c r="C377" s="1" t="n">
        <v>45812</v>
      </c>
      <c r="D377" t="inlineStr">
        <is>
          <t>ÖREBRO LÄN</t>
        </is>
      </c>
      <c r="E377" t="inlineStr">
        <is>
          <t>LEKEBERG</t>
        </is>
      </c>
      <c r="G377" t="n">
        <v>1.3</v>
      </c>
      <c r="H377" t="n">
        <v>0</v>
      </c>
      <c r="I377" t="n">
        <v>0</v>
      </c>
      <c r="J377" t="n">
        <v>0</v>
      </c>
      <c r="K377" t="n">
        <v>0</v>
      </c>
      <c r="L377" t="n">
        <v>0</v>
      </c>
      <c r="M377" t="n">
        <v>0</v>
      </c>
      <c r="N377" t="n">
        <v>0</v>
      </c>
      <c r="O377" t="n">
        <v>0</v>
      </c>
      <c r="P377" t="n">
        <v>0</v>
      </c>
      <c r="Q377" t="n">
        <v>0</v>
      </c>
      <c r="R377" s="2" t="inlineStr"/>
    </row>
    <row r="378" ht="15" customHeight="1">
      <c r="A378" t="inlineStr">
        <is>
          <t>A 62160-2024</t>
        </is>
      </c>
      <c r="B378" s="1" t="n">
        <v>45656</v>
      </c>
      <c r="C378" s="1" t="n">
        <v>45812</v>
      </c>
      <c r="D378" t="inlineStr">
        <is>
          <t>ÖREBRO LÄN</t>
        </is>
      </c>
      <c r="E378" t="inlineStr">
        <is>
          <t>LEKEBERG</t>
        </is>
      </c>
      <c r="G378" t="n">
        <v>0.9</v>
      </c>
      <c r="H378" t="n">
        <v>0</v>
      </c>
      <c r="I378" t="n">
        <v>0</v>
      </c>
      <c r="J378" t="n">
        <v>0</v>
      </c>
      <c r="K378" t="n">
        <v>0</v>
      </c>
      <c r="L378" t="n">
        <v>0</v>
      </c>
      <c r="M378" t="n">
        <v>0</v>
      </c>
      <c r="N378" t="n">
        <v>0</v>
      </c>
      <c r="O378" t="n">
        <v>0</v>
      </c>
      <c r="P378" t="n">
        <v>0</v>
      </c>
      <c r="Q378" t="n">
        <v>0</v>
      </c>
      <c r="R378" s="2" t="inlineStr"/>
    </row>
    <row r="379" ht="15" customHeight="1">
      <c r="A379" t="inlineStr">
        <is>
          <t>A 59-2025</t>
        </is>
      </c>
      <c r="B379" s="1" t="n">
        <v>45659</v>
      </c>
      <c r="C379" s="1" t="n">
        <v>45812</v>
      </c>
      <c r="D379" t="inlineStr">
        <is>
          <t>ÖREBRO LÄN</t>
        </is>
      </c>
      <c r="E379" t="inlineStr">
        <is>
          <t>LEKEBERG</t>
        </is>
      </c>
      <c r="G379" t="n">
        <v>0.7</v>
      </c>
      <c r="H379" t="n">
        <v>0</v>
      </c>
      <c r="I379" t="n">
        <v>0</v>
      </c>
      <c r="J379" t="n">
        <v>0</v>
      </c>
      <c r="K379" t="n">
        <v>0</v>
      </c>
      <c r="L379" t="n">
        <v>0</v>
      </c>
      <c r="M379" t="n">
        <v>0</v>
      </c>
      <c r="N379" t="n">
        <v>0</v>
      </c>
      <c r="O379" t="n">
        <v>0</v>
      </c>
      <c r="P379" t="n">
        <v>0</v>
      </c>
      <c r="Q379" t="n">
        <v>0</v>
      </c>
      <c r="R379" s="2" t="inlineStr"/>
    </row>
    <row r="380" ht="15" customHeight="1">
      <c r="A380" t="inlineStr">
        <is>
          <t>A 62-2025</t>
        </is>
      </c>
      <c r="B380" s="1" t="n">
        <v>45659</v>
      </c>
      <c r="C380" s="1" t="n">
        <v>45812</v>
      </c>
      <c r="D380" t="inlineStr">
        <is>
          <t>ÖREBRO LÄN</t>
        </is>
      </c>
      <c r="E380" t="inlineStr">
        <is>
          <t>LEKEBERG</t>
        </is>
      </c>
      <c r="G380" t="n">
        <v>2.5</v>
      </c>
      <c r="H380" t="n">
        <v>0</v>
      </c>
      <c r="I380" t="n">
        <v>0</v>
      </c>
      <c r="J380" t="n">
        <v>0</v>
      </c>
      <c r="K380" t="n">
        <v>0</v>
      </c>
      <c r="L380" t="n">
        <v>0</v>
      </c>
      <c r="M380" t="n">
        <v>0</v>
      </c>
      <c r="N380" t="n">
        <v>0</v>
      </c>
      <c r="O380" t="n">
        <v>0</v>
      </c>
      <c r="P380" t="n">
        <v>0</v>
      </c>
      <c r="Q380" t="n">
        <v>0</v>
      </c>
      <c r="R380" s="2" t="inlineStr"/>
    </row>
    <row r="381" ht="15" customHeight="1">
      <c r="A381" t="inlineStr">
        <is>
          <t>A 899-2025</t>
        </is>
      </c>
      <c r="B381" s="1" t="n">
        <v>45664</v>
      </c>
      <c r="C381" s="1" t="n">
        <v>45812</v>
      </c>
      <c r="D381" t="inlineStr">
        <is>
          <t>ÖREBRO LÄN</t>
        </is>
      </c>
      <c r="E381" t="inlineStr">
        <is>
          <t>LEKEBERG</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45812</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1154-2025</t>
        </is>
      </c>
      <c r="B383" s="1" t="n">
        <v>45666</v>
      </c>
      <c r="C383" s="1" t="n">
        <v>45812</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1155-2025</t>
        </is>
      </c>
      <c r="B384" s="1" t="n">
        <v>45666</v>
      </c>
      <c r="C384" s="1" t="n">
        <v>45812</v>
      </c>
      <c r="D384" t="inlineStr">
        <is>
          <t>ÖREBRO LÄN</t>
        </is>
      </c>
      <c r="E384" t="inlineStr">
        <is>
          <t>LEKEBERG</t>
        </is>
      </c>
      <c r="G384" t="n">
        <v>2.8</v>
      </c>
      <c r="H384" t="n">
        <v>0</v>
      </c>
      <c r="I384" t="n">
        <v>0</v>
      </c>
      <c r="J384" t="n">
        <v>0</v>
      </c>
      <c r="K384" t="n">
        <v>0</v>
      </c>
      <c r="L384" t="n">
        <v>0</v>
      </c>
      <c r="M384" t="n">
        <v>0</v>
      </c>
      <c r="N384" t="n">
        <v>0</v>
      </c>
      <c r="O384" t="n">
        <v>0</v>
      </c>
      <c r="P384" t="n">
        <v>0</v>
      </c>
      <c r="Q384" t="n">
        <v>0</v>
      </c>
      <c r="R384" s="2" t="inlineStr"/>
    </row>
    <row r="385" ht="15" customHeight="1">
      <c r="A385" t="inlineStr">
        <is>
          <t>A 1157-2025</t>
        </is>
      </c>
      <c r="B385" s="1" t="n">
        <v>45666</v>
      </c>
      <c r="C385" s="1" t="n">
        <v>45812</v>
      </c>
      <c r="D385" t="inlineStr">
        <is>
          <t>ÖREBRO LÄN</t>
        </is>
      </c>
      <c r="E385" t="inlineStr">
        <is>
          <t>LEKEBERG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1574-2025</t>
        </is>
      </c>
      <c r="B386" s="1" t="n">
        <v>45670</v>
      </c>
      <c r="C386" s="1" t="n">
        <v>45812</v>
      </c>
      <c r="D386" t="inlineStr">
        <is>
          <t>ÖREBRO LÄN</t>
        </is>
      </c>
      <c r="E386" t="inlineStr">
        <is>
          <t>LEKEBERG</t>
        </is>
      </c>
      <c r="F386" t="inlineStr">
        <is>
          <t>Allmännings- och besparingsskogar</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1599-2025</t>
        </is>
      </c>
      <c r="B387" s="1" t="n">
        <v>45670</v>
      </c>
      <c r="C387" s="1" t="n">
        <v>45812</v>
      </c>
      <c r="D387" t="inlineStr">
        <is>
          <t>ÖREBRO LÄN</t>
        </is>
      </c>
      <c r="E387" t="inlineStr">
        <is>
          <t>LEKEBERG</t>
        </is>
      </c>
      <c r="F387" t="inlineStr">
        <is>
          <t>Allmännings- och besparingsskogar</t>
        </is>
      </c>
      <c r="G387" t="n">
        <v>18.8</v>
      </c>
      <c r="H387" t="n">
        <v>0</v>
      </c>
      <c r="I387" t="n">
        <v>0</v>
      </c>
      <c r="J387" t="n">
        <v>0</v>
      </c>
      <c r="K387" t="n">
        <v>0</v>
      </c>
      <c r="L387" t="n">
        <v>0</v>
      </c>
      <c r="M387" t="n">
        <v>0</v>
      </c>
      <c r="N387" t="n">
        <v>0</v>
      </c>
      <c r="O387" t="n">
        <v>0</v>
      </c>
      <c r="P387" t="n">
        <v>0</v>
      </c>
      <c r="Q387" t="n">
        <v>0</v>
      </c>
      <c r="R387" s="2" t="inlineStr"/>
    </row>
    <row r="388" ht="15" customHeight="1">
      <c r="A388" t="inlineStr">
        <is>
          <t>A 2039-2025</t>
        </is>
      </c>
      <c r="B388" s="1" t="n">
        <v>45672</v>
      </c>
      <c r="C388" s="1" t="n">
        <v>45812</v>
      </c>
      <c r="D388" t="inlineStr">
        <is>
          <t>ÖREBRO LÄN</t>
        </is>
      </c>
      <c r="E388" t="inlineStr">
        <is>
          <t>LEKEBERG</t>
        </is>
      </c>
      <c r="G388" t="n">
        <v>1</v>
      </c>
      <c r="H388" t="n">
        <v>0</v>
      </c>
      <c r="I388" t="n">
        <v>0</v>
      </c>
      <c r="J388" t="n">
        <v>0</v>
      </c>
      <c r="K388" t="n">
        <v>0</v>
      </c>
      <c r="L388" t="n">
        <v>0</v>
      </c>
      <c r="M388" t="n">
        <v>0</v>
      </c>
      <c r="N388" t="n">
        <v>0</v>
      </c>
      <c r="O388" t="n">
        <v>0</v>
      </c>
      <c r="P388" t="n">
        <v>0</v>
      </c>
      <c r="Q388" t="n">
        <v>0</v>
      </c>
      <c r="R388" s="2" t="inlineStr"/>
    </row>
    <row r="389" ht="15" customHeight="1">
      <c r="A389" t="inlineStr">
        <is>
          <t>A 2038-2025</t>
        </is>
      </c>
      <c r="B389" s="1" t="n">
        <v>45672</v>
      </c>
      <c r="C389" s="1" t="n">
        <v>45812</v>
      </c>
      <c r="D389" t="inlineStr">
        <is>
          <t>ÖREBRO LÄN</t>
        </is>
      </c>
      <c r="E389" t="inlineStr">
        <is>
          <t>LEKEBERG</t>
        </is>
      </c>
      <c r="G389" t="n">
        <v>2.5</v>
      </c>
      <c r="H389" t="n">
        <v>0</v>
      </c>
      <c r="I389" t="n">
        <v>0</v>
      </c>
      <c r="J389" t="n">
        <v>0</v>
      </c>
      <c r="K389" t="n">
        <v>0</v>
      </c>
      <c r="L389" t="n">
        <v>0</v>
      </c>
      <c r="M389" t="n">
        <v>0</v>
      </c>
      <c r="N389" t="n">
        <v>0</v>
      </c>
      <c r="O389" t="n">
        <v>0</v>
      </c>
      <c r="P389" t="n">
        <v>0</v>
      </c>
      <c r="Q389" t="n">
        <v>0</v>
      </c>
      <c r="R389" s="2" t="inlineStr"/>
    </row>
    <row r="390" ht="15" customHeight="1">
      <c r="A390" t="inlineStr">
        <is>
          <t>A 6323-2025</t>
        </is>
      </c>
      <c r="B390" s="1" t="n">
        <v>45698</v>
      </c>
      <c r="C390" s="1" t="n">
        <v>45812</v>
      </c>
      <c r="D390" t="inlineStr">
        <is>
          <t>ÖREBRO LÄN</t>
        </is>
      </c>
      <c r="E390" t="inlineStr">
        <is>
          <t>LEKEBERG</t>
        </is>
      </c>
      <c r="G390" t="n">
        <v>0.9</v>
      </c>
      <c r="H390" t="n">
        <v>0</v>
      </c>
      <c r="I390" t="n">
        <v>0</v>
      </c>
      <c r="J390" t="n">
        <v>0</v>
      </c>
      <c r="K390" t="n">
        <v>0</v>
      </c>
      <c r="L390" t="n">
        <v>0</v>
      </c>
      <c r="M390" t="n">
        <v>0</v>
      </c>
      <c r="N390" t="n">
        <v>0</v>
      </c>
      <c r="O390" t="n">
        <v>0</v>
      </c>
      <c r="P390" t="n">
        <v>0</v>
      </c>
      <c r="Q390" t="n">
        <v>0</v>
      </c>
      <c r="R390" s="2" t="inlineStr"/>
    </row>
    <row r="391" ht="15" customHeight="1">
      <c r="A391" t="inlineStr">
        <is>
          <t>A 6140-2025</t>
        </is>
      </c>
      <c r="B391" s="1" t="n">
        <v>45698</v>
      </c>
      <c r="C391" s="1" t="n">
        <v>45812</v>
      </c>
      <c r="D391" t="inlineStr">
        <is>
          <t>ÖREBRO LÄN</t>
        </is>
      </c>
      <c r="E391" t="inlineStr">
        <is>
          <t>LEKEBERG</t>
        </is>
      </c>
      <c r="G391" t="n">
        <v>0.5</v>
      </c>
      <c r="H391" t="n">
        <v>0</v>
      </c>
      <c r="I391" t="n">
        <v>0</v>
      </c>
      <c r="J391" t="n">
        <v>0</v>
      </c>
      <c r="K391" t="n">
        <v>0</v>
      </c>
      <c r="L391" t="n">
        <v>0</v>
      </c>
      <c r="M391" t="n">
        <v>0</v>
      </c>
      <c r="N391" t="n">
        <v>0</v>
      </c>
      <c r="O391" t="n">
        <v>0</v>
      </c>
      <c r="P391" t="n">
        <v>0</v>
      </c>
      <c r="Q391" t="n">
        <v>0</v>
      </c>
      <c r="R391" s="2" t="inlineStr"/>
    </row>
    <row r="392" ht="15" customHeight="1">
      <c r="A392" t="inlineStr">
        <is>
          <t>A 9769-2025</t>
        </is>
      </c>
      <c r="B392" s="1" t="n">
        <v>45716</v>
      </c>
      <c r="C392" s="1" t="n">
        <v>45812</v>
      </c>
      <c r="D392" t="inlineStr">
        <is>
          <t>ÖREBRO LÄN</t>
        </is>
      </c>
      <c r="E392" t="inlineStr">
        <is>
          <t>LEKEBERG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10467-2025</t>
        </is>
      </c>
      <c r="B393" s="1" t="n">
        <v>45720</v>
      </c>
      <c r="C393" s="1" t="n">
        <v>45812</v>
      </c>
      <c r="D393" t="inlineStr">
        <is>
          <t>ÖREBRO LÄN</t>
        </is>
      </c>
      <c r="E393" t="inlineStr">
        <is>
          <t>LEKEBERG</t>
        </is>
      </c>
      <c r="G393" t="n">
        <v>3.8</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45812</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11289-2025</t>
        </is>
      </c>
      <c r="B395" s="1" t="n">
        <v>45726</v>
      </c>
      <c r="C395" s="1" t="n">
        <v>45812</v>
      </c>
      <c r="D395" t="inlineStr">
        <is>
          <t>ÖREBRO LÄN</t>
        </is>
      </c>
      <c r="E395" t="inlineStr">
        <is>
          <t>LEKEBERG</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12516-2025</t>
        </is>
      </c>
      <c r="B396" s="1" t="n">
        <v>45730</v>
      </c>
      <c r="C396" s="1" t="n">
        <v>45812</v>
      </c>
      <c r="D396" t="inlineStr">
        <is>
          <t>ÖREBRO LÄN</t>
        </is>
      </c>
      <c r="E396" t="inlineStr">
        <is>
          <t>LEKEBERG</t>
        </is>
      </c>
      <c r="F396" t="inlineStr">
        <is>
          <t>Allmännings- och besparingsskogar</t>
        </is>
      </c>
      <c r="G396" t="n">
        <v>4.8</v>
      </c>
      <c r="H396" t="n">
        <v>0</v>
      </c>
      <c r="I396" t="n">
        <v>0</v>
      </c>
      <c r="J396" t="n">
        <v>0</v>
      </c>
      <c r="K396" t="n">
        <v>0</v>
      </c>
      <c r="L396" t="n">
        <v>0</v>
      </c>
      <c r="M396" t="n">
        <v>0</v>
      </c>
      <c r="N396" t="n">
        <v>0</v>
      </c>
      <c r="O396" t="n">
        <v>0</v>
      </c>
      <c r="P396" t="n">
        <v>0</v>
      </c>
      <c r="Q396" t="n">
        <v>0</v>
      </c>
      <c r="R396" s="2" t="inlineStr"/>
    </row>
    <row r="397" ht="15" customHeight="1">
      <c r="A397" t="inlineStr">
        <is>
          <t>A 12596-2025</t>
        </is>
      </c>
      <c r="B397" s="1" t="n">
        <v>45733</v>
      </c>
      <c r="C397" s="1" t="n">
        <v>45812</v>
      </c>
      <c r="D397" t="inlineStr">
        <is>
          <t>ÖREBRO LÄN</t>
        </is>
      </c>
      <c r="E397" t="inlineStr">
        <is>
          <t>LEKEBERG</t>
        </is>
      </c>
      <c r="G397" t="n">
        <v>1.6</v>
      </c>
      <c r="H397" t="n">
        <v>0</v>
      </c>
      <c r="I397" t="n">
        <v>0</v>
      </c>
      <c r="J397" t="n">
        <v>0</v>
      </c>
      <c r="K397" t="n">
        <v>0</v>
      </c>
      <c r="L397" t="n">
        <v>0</v>
      </c>
      <c r="M397" t="n">
        <v>0</v>
      </c>
      <c r="N397" t="n">
        <v>0</v>
      </c>
      <c r="O397" t="n">
        <v>0</v>
      </c>
      <c r="P397" t="n">
        <v>0</v>
      </c>
      <c r="Q397" t="n">
        <v>0</v>
      </c>
      <c r="R397" s="2" t="inlineStr"/>
    </row>
    <row r="398" ht="15" customHeight="1">
      <c r="A398" t="inlineStr">
        <is>
          <t>A 13409-2025</t>
        </is>
      </c>
      <c r="B398" s="1" t="n">
        <v>45735</v>
      </c>
      <c r="C398" s="1" t="n">
        <v>45812</v>
      </c>
      <c r="D398" t="inlineStr">
        <is>
          <t>ÖREBRO LÄN</t>
        </is>
      </c>
      <c r="E398" t="inlineStr">
        <is>
          <t>LEKEBERG</t>
        </is>
      </c>
      <c r="G398" t="n">
        <v>3</v>
      </c>
      <c r="H398" t="n">
        <v>0</v>
      </c>
      <c r="I398" t="n">
        <v>0</v>
      </c>
      <c r="J398" t="n">
        <v>0</v>
      </c>
      <c r="K398" t="n">
        <v>0</v>
      </c>
      <c r="L398" t="n">
        <v>0</v>
      </c>
      <c r="M398" t="n">
        <v>0</v>
      </c>
      <c r="N398" t="n">
        <v>0</v>
      </c>
      <c r="O398" t="n">
        <v>0</v>
      </c>
      <c r="P398" t="n">
        <v>0</v>
      </c>
      <c r="Q398" t="n">
        <v>0</v>
      </c>
      <c r="R398" s="2" t="inlineStr"/>
    </row>
    <row r="399" ht="15" customHeight="1">
      <c r="A399" t="inlineStr">
        <is>
          <t>A 13757-2025</t>
        </is>
      </c>
      <c r="B399" s="1" t="n">
        <v>45737</v>
      </c>
      <c r="C399" s="1" t="n">
        <v>45812</v>
      </c>
      <c r="D399" t="inlineStr">
        <is>
          <t>ÖREBRO LÄN</t>
        </is>
      </c>
      <c r="E399" t="inlineStr">
        <is>
          <t>LEKEBERG</t>
        </is>
      </c>
      <c r="F399" t="inlineStr">
        <is>
          <t>Sveaskog</t>
        </is>
      </c>
      <c r="G399" t="n">
        <v>12.8</v>
      </c>
      <c r="H399" t="n">
        <v>0</v>
      </c>
      <c r="I399" t="n">
        <v>0</v>
      </c>
      <c r="J399" t="n">
        <v>0</v>
      </c>
      <c r="K399" t="n">
        <v>0</v>
      </c>
      <c r="L399" t="n">
        <v>0</v>
      </c>
      <c r="M399" t="n">
        <v>0</v>
      </c>
      <c r="N399" t="n">
        <v>0</v>
      </c>
      <c r="O399" t="n">
        <v>0</v>
      </c>
      <c r="P399" t="n">
        <v>0</v>
      </c>
      <c r="Q399" t="n">
        <v>0</v>
      </c>
      <c r="R399" s="2" t="inlineStr"/>
    </row>
    <row r="400" ht="15" customHeight="1">
      <c r="A400" t="inlineStr">
        <is>
          <t>A 14176-2025</t>
        </is>
      </c>
      <c r="B400" s="1" t="n">
        <v>45740</v>
      </c>
      <c r="C400" s="1" t="n">
        <v>45812</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row r="401" ht="15" customHeight="1">
      <c r="A401" t="inlineStr">
        <is>
          <t>A 14169-2025</t>
        </is>
      </c>
      <c r="B401" s="1" t="n">
        <v>45740</v>
      </c>
      <c r="C401" s="1" t="n">
        <v>45812</v>
      </c>
      <c r="D401" t="inlineStr">
        <is>
          <t>ÖREBRO LÄN</t>
        </is>
      </c>
      <c r="E401" t="inlineStr">
        <is>
          <t>LEKEBERG</t>
        </is>
      </c>
      <c r="G401" t="n">
        <v>2.5</v>
      </c>
      <c r="H401" t="n">
        <v>0</v>
      </c>
      <c r="I401" t="n">
        <v>0</v>
      </c>
      <c r="J401" t="n">
        <v>0</v>
      </c>
      <c r="K401" t="n">
        <v>0</v>
      </c>
      <c r="L401" t="n">
        <v>0</v>
      </c>
      <c r="M401" t="n">
        <v>0</v>
      </c>
      <c r="N401" t="n">
        <v>0</v>
      </c>
      <c r="O401" t="n">
        <v>0</v>
      </c>
      <c r="P401" t="n">
        <v>0</v>
      </c>
      <c r="Q401" t="n">
        <v>0</v>
      </c>
      <c r="R401" s="2" t="inlineStr"/>
    </row>
    <row r="402" ht="15" customHeight="1">
      <c r="A402" t="inlineStr">
        <is>
          <t>A 15597-2025</t>
        </is>
      </c>
      <c r="B402" s="1" t="n">
        <v>45747</v>
      </c>
      <c r="C402" s="1" t="n">
        <v>45812</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45812</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18393-2025</t>
        </is>
      </c>
      <c r="B404" s="1" t="n">
        <v>45762</v>
      </c>
      <c r="C404" s="1" t="n">
        <v>45812</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19027-2025</t>
        </is>
      </c>
      <c r="B405" s="1" t="n">
        <v>45764</v>
      </c>
      <c r="C405" s="1" t="n">
        <v>45812</v>
      </c>
      <c r="D405" t="inlineStr">
        <is>
          <t>ÖREBRO LÄN</t>
        </is>
      </c>
      <c r="E405" t="inlineStr">
        <is>
          <t>LEKEBERG</t>
        </is>
      </c>
      <c r="G405" t="n">
        <v>1.6</v>
      </c>
      <c r="H405" t="n">
        <v>0</v>
      </c>
      <c r="I405" t="n">
        <v>0</v>
      </c>
      <c r="J405" t="n">
        <v>0</v>
      </c>
      <c r="K405" t="n">
        <v>0</v>
      </c>
      <c r="L405" t="n">
        <v>0</v>
      </c>
      <c r="M405" t="n">
        <v>0</v>
      </c>
      <c r="N405" t="n">
        <v>0</v>
      </c>
      <c r="O405" t="n">
        <v>0</v>
      </c>
      <c r="P405" t="n">
        <v>0</v>
      </c>
      <c r="Q405" t="n">
        <v>0</v>
      </c>
      <c r="R405" s="2" t="inlineStr"/>
    </row>
    <row r="406" ht="15" customHeight="1">
      <c r="A406" t="inlineStr">
        <is>
          <t>A 19178-2025</t>
        </is>
      </c>
      <c r="B406" s="1" t="n">
        <v>45769</v>
      </c>
      <c r="C406" s="1" t="n">
        <v>45812</v>
      </c>
      <c r="D406" t="inlineStr">
        <is>
          <t>ÖREBRO LÄN</t>
        </is>
      </c>
      <c r="E406" t="inlineStr">
        <is>
          <t>LEKEBERG</t>
        </is>
      </c>
      <c r="G406" t="n">
        <v>3.6</v>
      </c>
      <c r="H406" t="n">
        <v>0</v>
      </c>
      <c r="I406" t="n">
        <v>0</v>
      </c>
      <c r="J406" t="n">
        <v>0</v>
      </c>
      <c r="K406" t="n">
        <v>0</v>
      </c>
      <c r="L406" t="n">
        <v>0</v>
      </c>
      <c r="M406" t="n">
        <v>0</v>
      </c>
      <c r="N406" t="n">
        <v>0</v>
      </c>
      <c r="O406" t="n">
        <v>0</v>
      </c>
      <c r="P406" t="n">
        <v>0</v>
      </c>
      <c r="Q406" t="n">
        <v>0</v>
      </c>
      <c r="R406" s="2" t="inlineStr"/>
    </row>
    <row r="407" ht="15" customHeight="1">
      <c r="A407" t="inlineStr">
        <is>
          <t>A 22805-2025</t>
        </is>
      </c>
      <c r="B407" s="1" t="n">
        <v>45789</v>
      </c>
      <c r="C407" s="1" t="n">
        <v>45812</v>
      </c>
      <c r="D407" t="inlineStr">
        <is>
          <t>ÖREBRO LÄN</t>
        </is>
      </c>
      <c r="E407" t="inlineStr">
        <is>
          <t>LEKEBERG</t>
        </is>
      </c>
      <c r="G407" t="n">
        <v>7.7</v>
      </c>
      <c r="H407" t="n">
        <v>0</v>
      </c>
      <c r="I407" t="n">
        <v>0</v>
      </c>
      <c r="J407" t="n">
        <v>0</v>
      </c>
      <c r="K407" t="n">
        <v>0</v>
      </c>
      <c r="L407" t="n">
        <v>0</v>
      </c>
      <c r="M407" t="n">
        <v>0</v>
      </c>
      <c r="N407" t="n">
        <v>0</v>
      </c>
      <c r="O407" t="n">
        <v>0</v>
      </c>
      <c r="P407" t="n">
        <v>0</v>
      </c>
      <c r="Q407" t="n">
        <v>0</v>
      </c>
      <c r="R407" s="2" t="inlineStr"/>
    </row>
    <row r="408" ht="15" customHeight="1">
      <c r="A408" t="inlineStr">
        <is>
          <t>A 24055-2025</t>
        </is>
      </c>
      <c r="B408" s="1" t="n">
        <v>45796</v>
      </c>
      <c r="C408" s="1" t="n">
        <v>45812</v>
      </c>
      <c r="D408" t="inlineStr">
        <is>
          <t>ÖREBRO LÄN</t>
        </is>
      </c>
      <c r="E408" t="inlineStr">
        <is>
          <t>LEKEBERG</t>
        </is>
      </c>
      <c r="G408" t="n">
        <v>4.2</v>
      </c>
      <c r="H408" t="n">
        <v>0</v>
      </c>
      <c r="I408" t="n">
        <v>0</v>
      </c>
      <c r="J408" t="n">
        <v>0</v>
      </c>
      <c r="K408" t="n">
        <v>0</v>
      </c>
      <c r="L408" t="n">
        <v>0</v>
      </c>
      <c r="M408" t="n">
        <v>0</v>
      </c>
      <c r="N408" t="n">
        <v>0</v>
      </c>
      <c r="O408" t="n">
        <v>0</v>
      </c>
      <c r="P408" t="n">
        <v>0</v>
      </c>
      <c r="Q408" t="n">
        <v>0</v>
      </c>
      <c r="R408" s="2" t="inlineStr"/>
    </row>
    <row r="409">
      <c r="A409" t="inlineStr">
        <is>
          <t>A 26863-2025</t>
        </is>
      </c>
      <c r="B409" s="1" t="n">
        <v>45810</v>
      </c>
      <c r="C409" s="1" t="n">
        <v>45812</v>
      </c>
      <c r="D409" t="inlineStr">
        <is>
          <t>ÖREBRO LÄN</t>
        </is>
      </c>
      <c r="E409" t="inlineStr">
        <is>
          <t>LEKEBERG</t>
        </is>
      </c>
      <c r="G409" t="n">
        <v>0.8</v>
      </c>
      <c r="H409" t="n">
        <v>0</v>
      </c>
      <c r="I409" t="n">
        <v>0</v>
      </c>
      <c r="J409" t="n">
        <v>0</v>
      </c>
      <c r="K409" t="n">
        <v>0</v>
      </c>
      <c r="L409" t="n">
        <v>0</v>
      </c>
      <c r="M409" t="n">
        <v>0</v>
      </c>
      <c r="N409" t="n">
        <v>0</v>
      </c>
      <c r="O409" t="n">
        <v>0</v>
      </c>
      <c r="P409" t="n">
        <v>0</v>
      </c>
      <c r="Q409" t="n">
        <v>0</v>
      </c>
      <c r="R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2025-06-04T18:12:21Z</dcterms:created>
  <dcterms:modified xmlns:dcterms="http://purl.org/dc/terms/" xmlns:xsi="http://www.w3.org/2001/XMLSchema-instance" xsi:type="dcterms:W3CDTF">2025-06-04T18:12:21Z</dcterms:modified>
</cp:coreProperties>
</file>