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46066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46066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46066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46066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46066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46066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46066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46066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46066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30722-2023</t>
        </is>
      </c>
      <c r="B12" s="1" t="n">
        <v>45112</v>
      </c>
      <c r="C12" s="1" t="n">
        <v>46066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HYPERLINK("https://klasma.github.io/Logging_1814/artfynd/A 30722-2023 artfynd.xlsx", "A 30722-2023")</f>
        <v/>
      </c>
      <c r="T12">
        <f>HYPERLINK("https://klasma.github.io/Logging_1814/kartor/A 30722-2023 karta.png", "A 30722-2023")</f>
        <v/>
      </c>
      <c r="V12">
        <f>HYPERLINK("https://klasma.github.io/Logging_1814/klagomål/A 30722-2023 FSC-klagomål.docx", "A 30722-2023")</f>
        <v/>
      </c>
      <c r="W12">
        <f>HYPERLINK("https://klasma.github.io/Logging_1814/klagomålsmail/A 30722-2023 FSC-klagomål mail.docx", "A 30722-2023")</f>
        <v/>
      </c>
      <c r="X12">
        <f>HYPERLINK("https://klasma.github.io/Logging_1814/tillsyn/A 30722-2023 tillsynsbegäran.docx", "A 30722-2023")</f>
        <v/>
      </c>
      <c r="Y12">
        <f>HYPERLINK("https://klasma.github.io/Logging_1814/tillsynsmail/A 30722-2023 tillsynsbegäran mail.docx", "A 30722-2023")</f>
        <v/>
      </c>
      <c r="Z12">
        <f>HYPERLINK("https://klasma.github.io/Logging_1814/fåglar/A 30722-2023 prioriterade fågelarter.docx", "A 30722-2023")</f>
        <v/>
      </c>
    </row>
    <row r="13" ht="15" customHeight="1">
      <c r="A13" t="inlineStr">
        <is>
          <t>A 19176-2025</t>
        </is>
      </c>
      <c r="B13" s="1" t="n">
        <v>45769</v>
      </c>
      <c r="C13" s="1" t="n">
        <v>46066</v>
      </c>
      <c r="D13" t="inlineStr">
        <is>
          <t>ÖREBRO LÄN</t>
        </is>
      </c>
      <c r="E13" t="inlineStr">
        <is>
          <t>LEKEBERG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19176-2025 artfynd.xlsx", "A 19176-2025")</f>
        <v/>
      </c>
      <c r="T13">
        <f>HYPERLINK("https://klasma.github.io/Logging_1814/kartor/A 19176-2025 karta.png", "A 19176-2025")</f>
        <v/>
      </c>
      <c r="V13">
        <f>HYPERLINK("https://klasma.github.io/Logging_1814/klagomål/A 19176-2025 FSC-klagomål.docx", "A 19176-2025")</f>
        <v/>
      </c>
      <c r="W13">
        <f>HYPERLINK("https://klasma.github.io/Logging_1814/klagomålsmail/A 19176-2025 FSC-klagomål mail.docx", "A 19176-2025")</f>
        <v/>
      </c>
      <c r="X13">
        <f>HYPERLINK("https://klasma.github.io/Logging_1814/tillsyn/A 19176-2025 tillsynsbegäran.docx", "A 19176-2025")</f>
        <v/>
      </c>
      <c r="Y13">
        <f>HYPERLINK("https://klasma.github.io/Logging_1814/tillsynsmail/A 19176-2025 tillsynsbegäran mail.docx", "A 19176-2025")</f>
        <v/>
      </c>
      <c r="Z13">
        <f>HYPERLINK("https://klasma.github.io/Logging_1814/fåglar/A 19176-2025 prioriterade fågelarter.docx", "A 19176-2025")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46066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46066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46066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290-2025</t>
        </is>
      </c>
      <c r="B17" s="1" t="n">
        <v>45656</v>
      </c>
      <c r="C17" s="1" t="n">
        <v>46066</v>
      </c>
      <c r="D17" t="inlineStr">
        <is>
          <t>ÖREBRO LÄN</t>
        </is>
      </c>
      <c r="E17" t="inlineStr">
        <is>
          <t>LEKEBERG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HYPERLINK("https://klasma.github.io/Logging_1814/artfynd/A 290-2025 artfynd.xlsx", "A 290-2025")</f>
        <v/>
      </c>
      <c r="T17">
        <f>HYPERLINK("https://klasma.github.io/Logging_1814/kartor/A 290-2025 karta.png", "A 290-2025")</f>
        <v/>
      </c>
      <c r="V17">
        <f>HYPERLINK("https://klasma.github.io/Logging_1814/klagomål/A 290-2025 FSC-klagomål.docx", "A 290-2025")</f>
        <v/>
      </c>
      <c r="W17">
        <f>HYPERLINK("https://klasma.github.io/Logging_1814/klagomålsmail/A 290-2025 FSC-klagomål mail.docx", "A 290-2025")</f>
        <v/>
      </c>
      <c r="X17">
        <f>HYPERLINK("https://klasma.github.io/Logging_1814/tillsyn/A 290-2025 tillsynsbegäran.docx", "A 290-2025")</f>
        <v/>
      </c>
      <c r="Y17">
        <f>HYPERLINK("https://klasma.github.io/Logging_1814/tillsynsmail/A 290-2025 tillsynsbegäran mail.docx", "A 290-2025")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46066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46066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46066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46066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46066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46066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46066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46066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46066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46066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46066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46066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46066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46066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46066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46066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46066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46066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46066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46066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46066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46066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46066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46066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46066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46066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46066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46066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46066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46066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46066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46066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46066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46066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46066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46066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46066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40696-2022</t>
        </is>
      </c>
      <c r="B55" s="1" t="n">
        <v>44824</v>
      </c>
      <c r="C55" s="1" t="n">
        <v>46066</v>
      </c>
      <c r="D55" t="inlineStr">
        <is>
          <t>ÖREBRO LÄN</t>
        </is>
      </c>
      <c r="E55" t="inlineStr">
        <is>
          <t>LEKEBERG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46066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46066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1607-2023</t>
        </is>
      </c>
      <c r="B58" s="1" t="n">
        <v>44937</v>
      </c>
      <c r="C58" s="1" t="n">
        <v>46066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46066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46066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46066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26763-2023</t>
        </is>
      </c>
      <c r="B62" s="1" t="n">
        <v>45093.46813657408</v>
      </c>
      <c r="C62" s="1" t="n">
        <v>46066</v>
      </c>
      <c r="D62" t="inlineStr">
        <is>
          <t>ÖREBRO LÄN</t>
        </is>
      </c>
      <c r="E62" t="inlineStr">
        <is>
          <t>LEKEBERG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44796.51725694445</v>
      </c>
      <c r="C63" s="1" t="n">
        <v>46066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37450-2024</t>
        </is>
      </c>
      <c r="B64" s="1" t="n">
        <v>45540.68736111111</v>
      </c>
      <c r="C64" s="1" t="n">
        <v>46066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39871-2024</t>
        </is>
      </c>
      <c r="B65" s="1" t="n">
        <v>45553</v>
      </c>
      <c r="C65" s="1" t="n">
        <v>46066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20800-2024</t>
        </is>
      </c>
      <c r="B66" s="1" t="n">
        <v>45438</v>
      </c>
      <c r="C66" s="1" t="n">
        <v>46066</v>
      </c>
      <c r="D66" t="inlineStr">
        <is>
          <t>ÖREBRO LÄN</t>
        </is>
      </c>
      <c r="E66" t="inlineStr">
        <is>
          <t>LEKEBERG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53910-2023</t>
        </is>
      </c>
      <c r="B67" s="1" t="n">
        <v>45231.55751157407</v>
      </c>
      <c r="C67" s="1" t="n">
        <v>46066</v>
      </c>
      <c r="D67" t="inlineStr">
        <is>
          <t>ÖREBRO LÄN</t>
        </is>
      </c>
      <c r="E67" t="inlineStr">
        <is>
          <t>LEKEBERG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12961-2023</t>
        </is>
      </c>
      <c r="B68" s="1" t="n">
        <v>45001.80307870371</v>
      </c>
      <c r="C68" s="1" t="n">
        <v>46066</v>
      </c>
      <c r="D68" t="inlineStr">
        <is>
          <t>ÖREBRO LÄN</t>
        </is>
      </c>
      <c r="E68" t="inlineStr">
        <is>
          <t>LEKEBERG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46066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10274-2023</t>
        </is>
      </c>
      <c r="B70" s="1" t="n">
        <v>44986</v>
      </c>
      <c r="C70" s="1" t="n">
        <v>46066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46066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58548-2024</t>
        </is>
      </c>
      <c r="B72" s="1" t="n">
        <v>45635.45878472222</v>
      </c>
      <c r="C72" s="1" t="n">
        <v>46066</v>
      </c>
      <c r="D72" t="inlineStr">
        <is>
          <t>ÖREBRO LÄN</t>
        </is>
      </c>
      <c r="E72" t="inlineStr">
        <is>
          <t>LEKEBERG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24055-2025</t>
        </is>
      </c>
      <c r="B73" s="1" t="n">
        <v>45796</v>
      </c>
      <c r="C73" s="1" t="n">
        <v>46066</v>
      </c>
      <c r="D73" t="inlineStr">
        <is>
          <t>ÖREBRO LÄN</t>
        </is>
      </c>
      <c r="E73" t="inlineStr">
        <is>
          <t>LEKEBERG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33963-2023</t>
        </is>
      </c>
      <c r="B74" s="1" t="n">
        <v>45134.62525462963</v>
      </c>
      <c r="C74" s="1" t="n">
        <v>46066</v>
      </c>
      <c r="D74" t="inlineStr">
        <is>
          <t>ÖREBRO LÄN</t>
        </is>
      </c>
      <c r="E74" t="inlineStr">
        <is>
          <t>LEKEBERG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46398-2021</t>
        </is>
      </c>
      <c r="B75" s="1" t="n">
        <v>44443.77010416667</v>
      </c>
      <c r="C75" s="1" t="n">
        <v>46066</v>
      </c>
      <c r="D75" t="inlineStr">
        <is>
          <t>ÖREBRO LÄN</t>
        </is>
      </c>
      <c r="E75" t="inlineStr">
        <is>
          <t>LEKEBERG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38922-2023</t>
        </is>
      </c>
      <c r="B76" s="1" t="n">
        <v>45163.57961805556</v>
      </c>
      <c r="C76" s="1" t="n">
        <v>46066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28620-2023</t>
        </is>
      </c>
      <c r="B77" s="1" t="n">
        <v>45103.5975462963</v>
      </c>
      <c r="C77" s="1" t="n">
        <v>46066</v>
      </c>
      <c r="D77" t="inlineStr">
        <is>
          <t>ÖREBRO LÄN</t>
        </is>
      </c>
      <c r="E77" t="inlineStr">
        <is>
          <t>LEKEBERG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18274-2024</t>
        </is>
      </c>
      <c r="B78" s="1" t="n">
        <v>45421.70460648148</v>
      </c>
      <c r="C78" s="1" t="n">
        <v>46066</v>
      </c>
      <c r="D78" t="inlineStr">
        <is>
          <t>ÖREBRO LÄN</t>
        </is>
      </c>
      <c r="E78" t="inlineStr">
        <is>
          <t>LEKEBERG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37598-2024</t>
        </is>
      </c>
      <c r="B79" s="1" t="n">
        <v>45541.47604166667</v>
      </c>
      <c r="C79" s="1" t="n">
        <v>46066</v>
      </c>
      <c r="D79" t="inlineStr">
        <is>
          <t>ÖREBRO LÄN</t>
        </is>
      </c>
      <c r="E79" t="inlineStr">
        <is>
          <t>LEKEBERG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12596-2025</t>
        </is>
      </c>
      <c r="B80" s="1" t="n">
        <v>45733.28476851852</v>
      </c>
      <c r="C80" s="1" t="n">
        <v>46066</v>
      </c>
      <c r="D80" t="inlineStr">
        <is>
          <t>ÖREBRO LÄN</t>
        </is>
      </c>
      <c r="E80" t="inlineStr">
        <is>
          <t>LEKEBERG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26863-2025</t>
        </is>
      </c>
      <c r="B81" s="1" t="n">
        <v>45810.69763888889</v>
      </c>
      <c r="C81" s="1" t="n">
        <v>46066</v>
      </c>
      <c r="D81" t="inlineStr">
        <is>
          <t>ÖREBRO LÄN</t>
        </is>
      </c>
      <c r="E81" t="inlineStr">
        <is>
          <t>LEKEBERG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12516-2025</t>
        </is>
      </c>
      <c r="B82" s="1" t="n">
        <v>45730.65107638889</v>
      </c>
      <c r="C82" s="1" t="n">
        <v>46066</v>
      </c>
      <c r="D82" t="inlineStr">
        <is>
          <t>ÖREBRO LÄN</t>
        </is>
      </c>
      <c r="E82" t="inlineStr">
        <is>
          <t>LEKEBERG</t>
        </is>
      </c>
      <c r="F82" t="inlineStr">
        <is>
          <t>Allmännings- och besparingsskogar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56282-2023</t>
        </is>
      </c>
      <c r="B83" s="1" t="n">
        <v>45241.82328703703</v>
      </c>
      <c r="C83" s="1" t="n">
        <v>46066</v>
      </c>
      <c r="D83" t="inlineStr">
        <is>
          <t>ÖREBRO LÄN</t>
        </is>
      </c>
      <c r="E83" t="inlineStr">
        <is>
          <t>LEKEBERG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44650-2024</t>
        </is>
      </c>
      <c r="B84" s="1" t="n">
        <v>45574</v>
      </c>
      <c r="C84" s="1" t="n">
        <v>46066</v>
      </c>
      <c r="D84" t="inlineStr">
        <is>
          <t>ÖREBRO LÄN</t>
        </is>
      </c>
      <c r="E84" t="inlineStr">
        <is>
          <t>LEKEBERG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29773-2025</t>
        </is>
      </c>
      <c r="B85" s="1" t="n">
        <v>45825.63271990741</v>
      </c>
      <c r="C85" s="1" t="n">
        <v>46066</v>
      </c>
      <c r="D85" t="inlineStr">
        <is>
          <t>ÖREBRO LÄN</t>
        </is>
      </c>
      <c r="E85" t="inlineStr">
        <is>
          <t>LEKEBERG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37042-2024</t>
        </is>
      </c>
      <c r="B86" s="1" t="n">
        <v>45539</v>
      </c>
      <c r="C86" s="1" t="n">
        <v>46066</v>
      </c>
      <c r="D86" t="inlineStr">
        <is>
          <t>ÖREBRO LÄN</t>
        </is>
      </c>
      <c r="E86" t="inlineStr">
        <is>
          <t>LEKEBERG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5313-2024</t>
        </is>
      </c>
      <c r="B87" s="1" t="n">
        <v>45331.39503472222</v>
      </c>
      <c r="C87" s="1" t="n">
        <v>46066</v>
      </c>
      <c r="D87" t="inlineStr">
        <is>
          <t>ÖREBRO LÄN</t>
        </is>
      </c>
      <c r="E87" t="inlineStr">
        <is>
          <t>LEKEBERG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7202-2023</t>
        </is>
      </c>
      <c r="B88" s="1" t="n">
        <v>44965</v>
      </c>
      <c r="C88" s="1" t="n">
        <v>46066</v>
      </c>
      <c r="D88" t="inlineStr">
        <is>
          <t>ÖREBRO LÄN</t>
        </is>
      </c>
      <c r="E88" t="inlineStr">
        <is>
          <t>LEKEBERG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19044-2023</t>
        </is>
      </c>
      <c r="B89" s="1" t="n">
        <v>45047</v>
      </c>
      <c r="C89" s="1" t="n">
        <v>46066</v>
      </c>
      <c r="D89" t="inlineStr">
        <is>
          <t>ÖREBRO LÄN</t>
        </is>
      </c>
      <c r="E89" t="inlineStr">
        <is>
          <t>LEKEBERG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19045-2023</t>
        </is>
      </c>
      <c r="B90" s="1" t="n">
        <v>45047</v>
      </c>
      <c r="C90" s="1" t="n">
        <v>46066</v>
      </c>
      <c r="D90" t="inlineStr">
        <is>
          <t>ÖREBRO LÄN</t>
        </is>
      </c>
      <c r="E90" t="inlineStr">
        <is>
          <t>LEKEBERG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33204-2025</t>
        </is>
      </c>
      <c r="B91" s="1" t="n">
        <v>45840.61181712963</v>
      </c>
      <c r="C91" s="1" t="n">
        <v>46066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10273-2023</t>
        </is>
      </c>
      <c r="B92" s="1" t="n">
        <v>44986</v>
      </c>
      <c r="C92" s="1" t="n">
        <v>46066</v>
      </c>
      <c r="D92" t="inlineStr">
        <is>
          <t>ÖREBRO LÄN</t>
        </is>
      </c>
      <c r="E92" t="inlineStr">
        <is>
          <t>LEKEBERG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19178-2025</t>
        </is>
      </c>
      <c r="B93" s="1" t="n">
        <v>45769</v>
      </c>
      <c r="C93" s="1" t="n">
        <v>46066</v>
      </c>
      <c r="D93" t="inlineStr">
        <is>
          <t>ÖREBRO LÄN</t>
        </is>
      </c>
      <c r="E93" t="inlineStr">
        <is>
          <t>LEKEBERG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26121-2023</t>
        </is>
      </c>
      <c r="B94" s="1" t="n">
        <v>45091.44384259259</v>
      </c>
      <c r="C94" s="1" t="n">
        <v>46066</v>
      </c>
      <c r="D94" t="inlineStr">
        <is>
          <t>ÖREBRO LÄN</t>
        </is>
      </c>
      <c r="E94" t="inlineStr">
        <is>
          <t>LEKEBERG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6101-2024</t>
        </is>
      </c>
      <c r="B95" s="1" t="n">
        <v>45337</v>
      </c>
      <c r="C95" s="1" t="n">
        <v>46066</v>
      </c>
      <c r="D95" t="inlineStr">
        <is>
          <t>ÖREBRO LÄN</t>
        </is>
      </c>
      <c r="E95" t="inlineStr">
        <is>
          <t>LEKEBERG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41692-2025</t>
        </is>
      </c>
      <c r="B96" s="1" t="n">
        <v>45902.4041087963</v>
      </c>
      <c r="C96" s="1" t="n">
        <v>46066</v>
      </c>
      <c r="D96" t="inlineStr">
        <is>
          <t>ÖREBRO LÄN</t>
        </is>
      </c>
      <c r="E96" t="inlineStr">
        <is>
          <t>LEKEBERG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27638-2025</t>
        </is>
      </c>
      <c r="B97" s="1" t="n">
        <v>45813</v>
      </c>
      <c r="C97" s="1" t="n">
        <v>46066</v>
      </c>
      <c r="D97" t="inlineStr">
        <is>
          <t>ÖREBRO LÄN</t>
        </is>
      </c>
      <c r="E97" t="inlineStr">
        <is>
          <t>LEKEBERG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12616-2025</t>
        </is>
      </c>
      <c r="B98" s="1" t="n">
        <v>45733</v>
      </c>
      <c r="C98" s="1" t="n">
        <v>46066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42197-2025</t>
        </is>
      </c>
      <c r="B99" s="1" t="n">
        <v>45904.48486111111</v>
      </c>
      <c r="C99" s="1" t="n">
        <v>46066</v>
      </c>
      <c r="D99" t="inlineStr">
        <is>
          <t>ÖREBRO LÄN</t>
        </is>
      </c>
      <c r="E99" t="inlineStr">
        <is>
          <t>LEKEBERG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2039-2025</t>
        </is>
      </c>
      <c r="B100" s="1" t="n">
        <v>45672</v>
      </c>
      <c r="C100" s="1" t="n">
        <v>46066</v>
      </c>
      <c r="D100" t="inlineStr">
        <is>
          <t>ÖREBRO LÄN</t>
        </is>
      </c>
      <c r="E100" t="inlineStr">
        <is>
          <t>LEKEBERG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42295-2025</t>
        </is>
      </c>
      <c r="B101" s="1" t="n">
        <v>45904.63057870371</v>
      </c>
      <c r="C101" s="1" t="n">
        <v>46066</v>
      </c>
      <c r="D101" t="inlineStr">
        <is>
          <t>ÖREBRO LÄN</t>
        </is>
      </c>
      <c r="E101" t="inlineStr">
        <is>
          <t>LEKEBERG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21886-2023</t>
        </is>
      </c>
      <c r="B102" s="1" t="n">
        <v>45068</v>
      </c>
      <c r="C102" s="1" t="n">
        <v>46066</v>
      </c>
      <c r="D102" t="inlineStr">
        <is>
          <t>ÖREBRO LÄN</t>
        </is>
      </c>
      <c r="E102" t="inlineStr">
        <is>
          <t>LEKEBERG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21886-2023</t>
        </is>
      </c>
      <c r="B103" s="1" t="n">
        <v>45068</v>
      </c>
      <c r="C103" s="1" t="n">
        <v>46066</v>
      </c>
      <c r="D103" t="inlineStr">
        <is>
          <t>ÖREBRO LÄN</t>
        </is>
      </c>
      <c r="E103" t="inlineStr">
        <is>
          <t>LEKEBERG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9769-2025</t>
        </is>
      </c>
      <c r="B104" s="1" t="n">
        <v>45716.48861111111</v>
      </c>
      <c r="C104" s="1" t="n">
        <v>46066</v>
      </c>
      <c r="D104" t="inlineStr">
        <is>
          <t>ÖREBRO LÄN</t>
        </is>
      </c>
      <c r="E104" t="inlineStr">
        <is>
          <t>LEKEBERG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1599-2025</t>
        </is>
      </c>
      <c r="B105" s="1" t="n">
        <v>45670.58930555556</v>
      </c>
      <c r="C105" s="1" t="n">
        <v>46066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44343-2022</t>
        </is>
      </c>
      <c r="B106" s="1" t="n">
        <v>44839.67604166667</v>
      </c>
      <c r="C106" s="1" t="n">
        <v>46066</v>
      </c>
      <c r="D106" t="inlineStr">
        <is>
          <t>ÖREBRO LÄN</t>
        </is>
      </c>
      <c r="E106" t="inlineStr">
        <is>
          <t>LEKEBERG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11794-2023</t>
        </is>
      </c>
      <c r="B107" s="1" t="n">
        <v>44994</v>
      </c>
      <c r="C107" s="1" t="n">
        <v>46066</v>
      </c>
      <c r="D107" t="inlineStr">
        <is>
          <t>ÖREBRO LÄN</t>
        </is>
      </c>
      <c r="E107" t="inlineStr">
        <is>
          <t>LEKEBERG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11289-2025</t>
        </is>
      </c>
      <c r="B108" s="1" t="n">
        <v>45726.42762731481</v>
      </c>
      <c r="C108" s="1" t="n">
        <v>46066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40329-2024</t>
        </is>
      </c>
      <c r="B109" s="1" t="n">
        <v>45555</v>
      </c>
      <c r="C109" s="1" t="n">
        <v>46066</v>
      </c>
      <c r="D109" t="inlineStr">
        <is>
          <t>ÖREBRO LÄN</t>
        </is>
      </c>
      <c r="E109" t="inlineStr">
        <is>
          <t>LEKEBERG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27947-2023</t>
        </is>
      </c>
      <c r="B110" s="1" t="n">
        <v>45098.66921296297</v>
      </c>
      <c r="C110" s="1" t="n">
        <v>46066</v>
      </c>
      <c r="D110" t="inlineStr">
        <is>
          <t>ÖREBRO LÄN</t>
        </is>
      </c>
      <c r="E110" t="inlineStr">
        <is>
          <t>LEKEBERG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33336-2023</t>
        </is>
      </c>
      <c r="B111" s="1" t="n">
        <v>45128.33729166666</v>
      </c>
      <c r="C111" s="1" t="n">
        <v>46066</v>
      </c>
      <c r="D111" t="inlineStr">
        <is>
          <t>ÖREBRO LÄN</t>
        </is>
      </c>
      <c r="E111" t="inlineStr">
        <is>
          <t>LEKEBERG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33337-2023</t>
        </is>
      </c>
      <c r="B112" s="1" t="n">
        <v>45128.3400925926</v>
      </c>
      <c r="C112" s="1" t="n">
        <v>46066</v>
      </c>
      <c r="D112" t="inlineStr">
        <is>
          <t>ÖREBRO LÄN</t>
        </is>
      </c>
      <c r="E112" t="inlineStr">
        <is>
          <t>LEKEBERG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43621-2025</t>
        </is>
      </c>
      <c r="B113" s="1" t="n">
        <v>45911.681875</v>
      </c>
      <c r="C113" s="1" t="n">
        <v>46066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37898-2025</t>
        </is>
      </c>
      <c r="B114" s="1" t="n">
        <v>45881.55846064815</v>
      </c>
      <c r="C114" s="1" t="n">
        <v>46066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58935-2023</t>
        </is>
      </c>
      <c r="B115" s="1" t="n">
        <v>45250</v>
      </c>
      <c r="C115" s="1" t="n">
        <v>46066</v>
      </c>
      <c r="D115" t="inlineStr">
        <is>
          <t>ÖREBRO LÄN</t>
        </is>
      </c>
      <c r="E115" t="inlineStr">
        <is>
          <t>LEKEBERG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38297-2025</t>
        </is>
      </c>
      <c r="B116" s="1" t="n">
        <v>45883.45506944445</v>
      </c>
      <c r="C116" s="1" t="n">
        <v>46066</v>
      </c>
      <c r="D116" t="inlineStr">
        <is>
          <t>ÖREBRO LÄN</t>
        </is>
      </c>
      <c r="E116" t="inlineStr">
        <is>
          <t>LEKEBERG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62841-2023</t>
        </is>
      </c>
      <c r="B117" s="1" t="n">
        <v>45270</v>
      </c>
      <c r="C117" s="1" t="n">
        <v>46066</v>
      </c>
      <c r="D117" t="inlineStr">
        <is>
          <t>ÖREBRO LÄN</t>
        </is>
      </c>
      <c r="E117" t="inlineStr">
        <is>
          <t>LEKEBERG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14169-2025</t>
        </is>
      </c>
      <c r="B118" s="1" t="n">
        <v>45740.51894675926</v>
      </c>
      <c r="C118" s="1" t="n">
        <v>46066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58020-2021</t>
        </is>
      </c>
      <c r="B119" s="1" t="n">
        <v>44484</v>
      </c>
      <c r="C119" s="1" t="n">
        <v>46066</v>
      </c>
      <c r="D119" t="inlineStr">
        <is>
          <t>ÖREBRO LÄN</t>
        </is>
      </c>
      <c r="E119" t="inlineStr">
        <is>
          <t>LEKEBERG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51659-2021</t>
        </is>
      </c>
      <c r="B120" s="1" t="n">
        <v>44462</v>
      </c>
      <c r="C120" s="1" t="n">
        <v>46066</v>
      </c>
      <c r="D120" t="inlineStr">
        <is>
          <t>ÖREBRO LÄN</t>
        </is>
      </c>
      <c r="E120" t="inlineStr">
        <is>
          <t>LEKEBERG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41551-2024</t>
        </is>
      </c>
      <c r="B121" s="1" t="n">
        <v>45560</v>
      </c>
      <c r="C121" s="1" t="n">
        <v>46066</v>
      </c>
      <c r="D121" t="inlineStr">
        <is>
          <t>ÖREBRO LÄN</t>
        </is>
      </c>
      <c r="E121" t="inlineStr">
        <is>
          <t>LEKEBERG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6843-2024</t>
        </is>
      </c>
      <c r="B122" s="1" t="n">
        <v>45342.62711805556</v>
      </c>
      <c r="C122" s="1" t="n">
        <v>46066</v>
      </c>
      <c r="D122" t="inlineStr">
        <is>
          <t>ÖREBRO LÄN</t>
        </is>
      </c>
      <c r="E122" t="inlineStr">
        <is>
          <t>LEKEBERG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6140-2025</t>
        </is>
      </c>
      <c r="B123" s="1" t="n">
        <v>45698.3849537037</v>
      </c>
      <c r="C123" s="1" t="n">
        <v>46066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46809-2025</t>
        </is>
      </c>
      <c r="B124" s="1" t="n">
        <v>45926.69324074074</v>
      </c>
      <c r="C124" s="1" t="n">
        <v>46066</v>
      </c>
      <c r="D124" t="inlineStr">
        <is>
          <t>ÖREBRO LÄN</t>
        </is>
      </c>
      <c r="E124" t="inlineStr">
        <is>
          <t>LEKEBERG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46810-2025</t>
        </is>
      </c>
      <c r="B125" s="1" t="n">
        <v>45926.69480324074</v>
      </c>
      <c r="C125" s="1" t="n">
        <v>46066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12140-2023</t>
        </is>
      </c>
      <c r="B126" s="1" t="n">
        <v>44998.46677083334</v>
      </c>
      <c r="C126" s="1" t="n">
        <v>46066</v>
      </c>
      <c r="D126" t="inlineStr">
        <is>
          <t>ÖREBRO LÄN</t>
        </is>
      </c>
      <c r="E126" t="inlineStr">
        <is>
          <t>LEKEBERG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22323-2023</t>
        </is>
      </c>
      <c r="B127" s="1" t="n">
        <v>45068</v>
      </c>
      <c r="C127" s="1" t="n">
        <v>46066</v>
      </c>
      <c r="D127" t="inlineStr">
        <is>
          <t>ÖREBRO LÄN</t>
        </is>
      </c>
      <c r="E127" t="inlineStr">
        <is>
          <t>LEKEBERG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41350-2023</t>
        </is>
      </c>
      <c r="B128" s="1" t="n">
        <v>45174</v>
      </c>
      <c r="C128" s="1" t="n">
        <v>46066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46877-2022</t>
        </is>
      </c>
      <c r="B129" s="1" t="n">
        <v>44848</v>
      </c>
      <c r="C129" s="1" t="n">
        <v>46066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54959-2023</t>
        </is>
      </c>
      <c r="B130" s="1" t="n">
        <v>45236</v>
      </c>
      <c r="C130" s="1" t="n">
        <v>46066</v>
      </c>
      <c r="D130" t="inlineStr">
        <is>
          <t>ÖREBRO LÄN</t>
        </is>
      </c>
      <c r="E130" t="inlineStr">
        <is>
          <t>LEKEBERG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13757-2025</t>
        </is>
      </c>
      <c r="B131" s="1" t="n">
        <v>45737.41730324074</v>
      </c>
      <c r="C131" s="1" t="n">
        <v>46066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10787-2023</t>
        </is>
      </c>
      <c r="B132" s="1" t="n">
        <v>44989</v>
      </c>
      <c r="C132" s="1" t="n">
        <v>46066</v>
      </c>
      <c r="D132" t="inlineStr">
        <is>
          <t>ÖREBRO LÄN</t>
        </is>
      </c>
      <c r="E132" t="inlineStr">
        <is>
          <t>LEKEBERG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10791-2023</t>
        </is>
      </c>
      <c r="B133" s="1" t="n">
        <v>44989</v>
      </c>
      <c r="C133" s="1" t="n">
        <v>46066</v>
      </c>
      <c r="D133" t="inlineStr">
        <is>
          <t>ÖREBRO LÄN</t>
        </is>
      </c>
      <c r="E133" t="inlineStr">
        <is>
          <t>LEKEBERG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10467-2025</t>
        </is>
      </c>
      <c r="B134" s="1" t="n">
        <v>45720.83359953704</v>
      </c>
      <c r="C134" s="1" t="n">
        <v>46066</v>
      </c>
      <c r="D134" t="inlineStr">
        <is>
          <t>ÖREBRO LÄN</t>
        </is>
      </c>
      <c r="E134" t="inlineStr">
        <is>
          <t>LEKEBERG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3602-2023</t>
        </is>
      </c>
      <c r="B135" s="1" t="n">
        <v>44950.58821759259</v>
      </c>
      <c r="C135" s="1" t="n">
        <v>46066</v>
      </c>
      <c r="D135" t="inlineStr">
        <is>
          <t>ÖREBRO LÄN</t>
        </is>
      </c>
      <c r="E135" t="inlineStr">
        <is>
          <t>LEKEBERG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12963-2023</t>
        </is>
      </c>
      <c r="B136" s="1" t="n">
        <v>45001</v>
      </c>
      <c r="C136" s="1" t="n">
        <v>46066</v>
      </c>
      <c r="D136" t="inlineStr">
        <is>
          <t>ÖREBRO LÄN</t>
        </is>
      </c>
      <c r="E136" t="inlineStr">
        <is>
          <t>LEKEBERG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14734-2024</t>
        </is>
      </c>
      <c r="B137" s="1" t="n">
        <v>45397.5890625</v>
      </c>
      <c r="C137" s="1" t="n">
        <v>46066</v>
      </c>
      <c r="D137" t="inlineStr">
        <is>
          <t>ÖREBRO LÄN</t>
        </is>
      </c>
      <c r="E137" t="inlineStr">
        <is>
          <t>LEKEBERG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30754-2022</t>
        </is>
      </c>
      <c r="B138" s="1" t="n">
        <v>44764</v>
      </c>
      <c r="C138" s="1" t="n">
        <v>46066</v>
      </c>
      <c r="D138" t="inlineStr">
        <is>
          <t>ÖREBRO LÄN</t>
        </is>
      </c>
      <c r="E138" t="inlineStr">
        <is>
          <t>LEKEBERG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53407-2025</t>
        </is>
      </c>
      <c r="B139" s="1" t="n">
        <v>45959.57350694444</v>
      </c>
      <c r="C139" s="1" t="n">
        <v>46066</v>
      </c>
      <c r="D139" t="inlineStr">
        <is>
          <t>ÖREBRO LÄN</t>
        </is>
      </c>
      <c r="E139" t="inlineStr">
        <is>
          <t>LEKEBERG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61733-2024</t>
        </is>
      </c>
      <c r="B140" s="1" t="n">
        <v>45649.34486111111</v>
      </c>
      <c r="C140" s="1" t="n">
        <v>46066</v>
      </c>
      <c r="D140" t="inlineStr">
        <is>
          <t>ÖREBRO LÄN</t>
        </is>
      </c>
      <c r="E140" t="inlineStr">
        <is>
          <t>LEKEBERG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14353-2024</t>
        </is>
      </c>
      <c r="B141" s="1" t="n">
        <v>45393.83645833333</v>
      </c>
      <c r="C141" s="1" t="n">
        <v>46066</v>
      </c>
      <c r="D141" t="inlineStr">
        <is>
          <t>ÖREBRO LÄN</t>
        </is>
      </c>
      <c r="E141" t="inlineStr">
        <is>
          <t>LEKEBERG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54770-2025</t>
        </is>
      </c>
      <c r="B142" s="1" t="n">
        <v>45966.60803240741</v>
      </c>
      <c r="C142" s="1" t="n">
        <v>46066</v>
      </c>
      <c r="D142" t="inlineStr">
        <is>
          <t>ÖREBRO LÄN</t>
        </is>
      </c>
      <c r="E142" t="inlineStr">
        <is>
          <t>LEKEBERG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55033-2025</t>
        </is>
      </c>
      <c r="B143" s="1" t="n">
        <v>45967</v>
      </c>
      <c r="C143" s="1" t="n">
        <v>46066</v>
      </c>
      <c r="D143" t="inlineStr">
        <is>
          <t>ÖREBRO LÄN</t>
        </is>
      </c>
      <c r="E143" t="inlineStr">
        <is>
          <t>LEKEBERG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54804-2025</t>
        </is>
      </c>
      <c r="B144" s="1" t="n">
        <v>45966.64116898148</v>
      </c>
      <c r="C144" s="1" t="n">
        <v>46066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5373-2024</t>
        </is>
      </c>
      <c r="B145" s="1" t="n">
        <v>45331</v>
      </c>
      <c r="C145" s="1" t="n">
        <v>46066</v>
      </c>
      <c r="D145" t="inlineStr">
        <is>
          <t>ÖREBRO LÄN</t>
        </is>
      </c>
      <c r="E145" t="inlineStr">
        <is>
          <t>LEKEBERG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55842-2025</t>
        </is>
      </c>
      <c r="B146" s="1" t="n">
        <v>45973.29060185186</v>
      </c>
      <c r="C146" s="1" t="n">
        <v>46066</v>
      </c>
      <c r="D146" t="inlineStr">
        <is>
          <t>ÖREBRO LÄN</t>
        </is>
      </c>
      <c r="E146" t="inlineStr">
        <is>
          <t>LEKEBERG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15597-2025</t>
        </is>
      </c>
      <c r="B147" s="1" t="n">
        <v>45747.9108449074</v>
      </c>
      <c r="C147" s="1" t="n">
        <v>46066</v>
      </c>
      <c r="D147" t="inlineStr">
        <is>
          <t>ÖREBRO LÄN</t>
        </is>
      </c>
      <c r="E147" t="inlineStr">
        <is>
          <t>LEKEBERG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59036-2021</t>
        </is>
      </c>
      <c r="B148" s="1" t="n">
        <v>44490</v>
      </c>
      <c r="C148" s="1" t="n">
        <v>46066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25.2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30747-2023</t>
        </is>
      </c>
      <c r="B149" s="1" t="n">
        <v>45112</v>
      </c>
      <c r="C149" s="1" t="n">
        <v>46066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14702-2023</t>
        </is>
      </c>
      <c r="B150" s="1" t="n">
        <v>45014</v>
      </c>
      <c r="C150" s="1" t="n">
        <v>46066</v>
      </c>
      <c r="D150" t="inlineStr">
        <is>
          <t>ÖREBRO LÄN</t>
        </is>
      </c>
      <c r="E150" t="inlineStr">
        <is>
          <t>LEKEBERG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58428-2025</t>
        </is>
      </c>
      <c r="B151" s="1" t="n">
        <v>45985.60064814815</v>
      </c>
      <c r="C151" s="1" t="n">
        <v>46066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61644-2023</t>
        </is>
      </c>
      <c r="B152" s="1" t="n">
        <v>45263</v>
      </c>
      <c r="C152" s="1" t="n">
        <v>46066</v>
      </c>
      <c r="D152" t="inlineStr">
        <is>
          <t>ÖREBRO LÄN</t>
        </is>
      </c>
      <c r="E152" t="inlineStr">
        <is>
          <t>LEKEBERG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18272-2024</t>
        </is>
      </c>
      <c r="B153" s="1" t="n">
        <v>45421.69873842593</v>
      </c>
      <c r="C153" s="1" t="n">
        <v>46066</v>
      </c>
      <c r="D153" t="inlineStr">
        <is>
          <t>ÖREBRO LÄN</t>
        </is>
      </c>
      <c r="E153" t="inlineStr">
        <is>
          <t>LEKEBERG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47906-2023</t>
        </is>
      </c>
      <c r="B154" s="1" t="n">
        <v>45204</v>
      </c>
      <c r="C154" s="1" t="n">
        <v>46066</v>
      </c>
      <c r="D154" t="inlineStr">
        <is>
          <t>ÖREBRO LÄN</t>
        </is>
      </c>
      <c r="E154" t="inlineStr">
        <is>
          <t>LEKEBERG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1217-2026</t>
        </is>
      </c>
      <c r="B155" s="1" t="n">
        <v>46031.39998842592</v>
      </c>
      <c r="C155" s="1" t="n">
        <v>46066</v>
      </c>
      <c r="D155" t="inlineStr">
        <is>
          <t>ÖREBRO LÄN</t>
        </is>
      </c>
      <c r="E155" t="inlineStr">
        <is>
          <t>LEKEBERG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46066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24913-2023</t>
        </is>
      </c>
      <c r="B157" s="1" t="n">
        <v>45085.49424768519</v>
      </c>
      <c r="C157" s="1" t="n">
        <v>46066</v>
      </c>
      <c r="D157" t="inlineStr">
        <is>
          <t>ÖREBRO LÄN</t>
        </is>
      </c>
      <c r="E157" t="inlineStr">
        <is>
          <t>LEKEBERG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21042-2023</t>
        </is>
      </c>
      <c r="B158" s="1" t="n">
        <v>45056</v>
      </c>
      <c r="C158" s="1" t="n">
        <v>46066</v>
      </c>
      <c r="D158" t="inlineStr">
        <is>
          <t>ÖREBRO LÄN</t>
        </is>
      </c>
      <c r="E158" t="inlineStr">
        <is>
          <t>LEKEBERG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56635-2022</t>
        </is>
      </c>
      <c r="B159" s="1" t="n">
        <v>44893</v>
      </c>
      <c r="C159" s="1" t="n">
        <v>46066</v>
      </c>
      <c r="D159" t="inlineStr">
        <is>
          <t>ÖREBRO LÄN</t>
        </is>
      </c>
      <c r="E159" t="inlineStr">
        <is>
          <t>LEKEBERG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33262-2023</t>
        </is>
      </c>
      <c r="B160" s="1" t="n">
        <v>45127.56380787037</v>
      </c>
      <c r="C160" s="1" t="n">
        <v>46066</v>
      </c>
      <c r="D160" t="inlineStr">
        <is>
          <t>ÖREBRO LÄN</t>
        </is>
      </c>
      <c r="E160" t="inlineStr">
        <is>
          <t>LEKEBERG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33259-2023</t>
        </is>
      </c>
      <c r="B161" s="1" t="n">
        <v>45127.56025462963</v>
      </c>
      <c r="C161" s="1" t="n">
        <v>46066</v>
      </c>
      <c r="D161" t="inlineStr">
        <is>
          <t>ÖREBRO LÄN</t>
        </is>
      </c>
      <c r="E161" t="inlineStr">
        <is>
          <t>LEKEBERG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11383-2023</t>
        </is>
      </c>
      <c r="B162" s="1" t="n">
        <v>44993.45693287037</v>
      </c>
      <c r="C162" s="1" t="n">
        <v>46066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47902-2023</t>
        </is>
      </c>
      <c r="B163" s="1" t="n">
        <v>45204.49861111111</v>
      </c>
      <c r="C163" s="1" t="n">
        <v>46066</v>
      </c>
      <c r="D163" t="inlineStr">
        <is>
          <t>ÖREBRO LÄN</t>
        </is>
      </c>
      <c r="E163" t="inlineStr">
        <is>
          <t>LEKEBERG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26702-2023</t>
        </is>
      </c>
      <c r="B164" s="1" t="n">
        <v>45093</v>
      </c>
      <c r="C164" s="1" t="n">
        <v>46066</v>
      </c>
      <c r="D164" t="inlineStr">
        <is>
          <t>ÖREBRO LÄN</t>
        </is>
      </c>
      <c r="E164" t="inlineStr">
        <is>
          <t>LEKEBERG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41008-2024</t>
        </is>
      </c>
      <c r="B165" s="1" t="n">
        <v>45559</v>
      </c>
      <c r="C165" s="1" t="n">
        <v>46066</v>
      </c>
      <c r="D165" t="inlineStr">
        <is>
          <t>ÖREBRO LÄN</t>
        </is>
      </c>
      <c r="E165" t="inlineStr">
        <is>
          <t>LEKEBERG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64615-2023</t>
        </is>
      </c>
      <c r="B166" s="1" t="n">
        <v>45281.52231481481</v>
      </c>
      <c r="C166" s="1" t="n">
        <v>46066</v>
      </c>
      <c r="D166" t="inlineStr">
        <is>
          <t>ÖREBRO LÄN</t>
        </is>
      </c>
      <c r="E166" t="inlineStr">
        <is>
          <t>LEKEBERG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16914-2022</t>
        </is>
      </c>
      <c r="B167" s="1" t="n">
        <v>44676.43390046297</v>
      </c>
      <c r="C167" s="1" t="n">
        <v>46066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61584-2025</t>
        </is>
      </c>
      <c r="B168" s="1" t="n">
        <v>46002.34265046296</v>
      </c>
      <c r="C168" s="1" t="n">
        <v>46066</v>
      </c>
      <c r="D168" t="inlineStr">
        <is>
          <t>ÖREBRO LÄN</t>
        </is>
      </c>
      <c r="E168" t="inlineStr">
        <is>
          <t>LEKEBERG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61581-2025</t>
        </is>
      </c>
      <c r="B169" s="1" t="n">
        <v>46002.33817129629</v>
      </c>
      <c r="C169" s="1" t="n">
        <v>46066</v>
      </c>
      <c r="D169" t="inlineStr">
        <is>
          <t>ÖREBRO LÄN</t>
        </is>
      </c>
      <c r="E169" t="inlineStr">
        <is>
          <t>LEKEBERG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46066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46066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62939-2025</t>
        </is>
      </c>
      <c r="B172" s="1" t="n">
        <v>46009.4262037037</v>
      </c>
      <c r="C172" s="1" t="n">
        <v>46066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62961-2025</t>
        </is>
      </c>
      <c r="B173" s="1" t="n">
        <v>46009.45863425926</v>
      </c>
      <c r="C173" s="1" t="n">
        <v>46066</v>
      </c>
      <c r="D173" t="inlineStr">
        <is>
          <t>ÖREBRO LÄN</t>
        </is>
      </c>
      <c r="E173" t="inlineStr">
        <is>
          <t>LEKEBERG</t>
        </is>
      </c>
      <c r="F173" t="inlineStr">
        <is>
          <t>Allmännings- och besparingsskogar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62978-2025</t>
        </is>
      </c>
      <c r="B174" s="1" t="n">
        <v>46009.47902777778</v>
      </c>
      <c r="C174" s="1" t="n">
        <v>46066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33907-2024</t>
        </is>
      </c>
      <c r="B175" s="1" t="n">
        <v>45523.37623842592</v>
      </c>
      <c r="C175" s="1" t="n">
        <v>46066</v>
      </c>
      <c r="D175" t="inlineStr">
        <is>
          <t>ÖREBRO LÄN</t>
        </is>
      </c>
      <c r="E175" t="inlineStr">
        <is>
          <t>LEKEBERG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33910-2024</t>
        </is>
      </c>
      <c r="B176" s="1" t="n">
        <v>45523.38473379629</v>
      </c>
      <c r="C176" s="1" t="n">
        <v>46066</v>
      </c>
      <c r="D176" t="inlineStr">
        <is>
          <t>ÖREBRO LÄN</t>
        </is>
      </c>
      <c r="E176" t="inlineStr">
        <is>
          <t>LEKEBERG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41233-2024</t>
        </is>
      </c>
      <c r="B177" s="1" t="n">
        <v>45559</v>
      </c>
      <c r="C177" s="1" t="n">
        <v>46066</v>
      </c>
      <c r="D177" t="inlineStr">
        <is>
          <t>ÖREBRO LÄN</t>
        </is>
      </c>
      <c r="E177" t="inlineStr">
        <is>
          <t>LEKEBERG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36516-2023</t>
        </is>
      </c>
      <c r="B178" s="1" t="n">
        <v>45153</v>
      </c>
      <c r="C178" s="1" t="n">
        <v>46066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2038-2025</t>
        </is>
      </c>
      <c r="B179" s="1" t="n">
        <v>45672.49553240741</v>
      </c>
      <c r="C179" s="1" t="n">
        <v>46066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1157-2025</t>
        </is>
      </c>
      <c r="B180" s="1" t="n">
        <v>45666.75922453704</v>
      </c>
      <c r="C180" s="1" t="n">
        <v>46066</v>
      </c>
      <c r="D180" t="inlineStr">
        <is>
          <t>ÖREBRO LÄN</t>
        </is>
      </c>
      <c r="E180" t="inlineStr">
        <is>
          <t>LEKEBERG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31113-2023</t>
        </is>
      </c>
      <c r="B181" s="1" t="n">
        <v>45113</v>
      </c>
      <c r="C181" s="1" t="n">
        <v>46066</v>
      </c>
      <c r="D181" t="inlineStr">
        <is>
          <t>ÖREBRO LÄN</t>
        </is>
      </c>
      <c r="E181" t="inlineStr">
        <is>
          <t>LEKEBERG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6223-2026</t>
        </is>
      </c>
      <c r="B182" s="1" t="n">
        <v>46055.44097222222</v>
      </c>
      <c r="C182" s="1" t="n">
        <v>46066</v>
      </c>
      <c r="D182" t="inlineStr">
        <is>
          <t>ÖREBRO LÄN</t>
        </is>
      </c>
      <c r="E182" t="inlineStr">
        <is>
          <t>LEKEBERG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20787-2022</t>
        </is>
      </c>
      <c r="B183" s="1" t="n">
        <v>44701</v>
      </c>
      <c r="C183" s="1" t="n">
        <v>46066</v>
      </c>
      <c r="D183" t="inlineStr">
        <is>
          <t>ÖREBRO LÄN</t>
        </is>
      </c>
      <c r="E183" t="inlineStr">
        <is>
          <t>LEKEBERG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11289-2023</t>
        </is>
      </c>
      <c r="B184" s="1" t="n">
        <v>44992</v>
      </c>
      <c r="C184" s="1" t="n">
        <v>46066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22137-2022</t>
        </is>
      </c>
      <c r="B185" s="1" t="n">
        <v>44712</v>
      </c>
      <c r="C185" s="1" t="n">
        <v>46066</v>
      </c>
      <c r="D185" t="inlineStr">
        <is>
          <t>ÖREBRO LÄN</t>
        </is>
      </c>
      <c r="E185" t="inlineStr">
        <is>
          <t>LEKEBERG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54227-2024</t>
        </is>
      </c>
      <c r="B186" s="1" t="n">
        <v>45616</v>
      </c>
      <c r="C186" s="1" t="n">
        <v>46066</v>
      </c>
      <c r="D186" t="inlineStr">
        <is>
          <t>ÖREBRO LÄN</t>
        </is>
      </c>
      <c r="E186" t="inlineStr">
        <is>
          <t>LEKEBERG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39872-2024</t>
        </is>
      </c>
      <c r="B187" s="1" t="n">
        <v>45553</v>
      </c>
      <c r="C187" s="1" t="n">
        <v>46066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18645-2023</t>
        </is>
      </c>
      <c r="B188" s="1" t="n">
        <v>45043</v>
      </c>
      <c r="C188" s="1" t="n">
        <v>46066</v>
      </c>
      <c r="D188" t="inlineStr">
        <is>
          <t>ÖREBRO LÄN</t>
        </is>
      </c>
      <c r="E188" t="inlineStr">
        <is>
          <t>LEKEBERG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29444-2024</t>
        </is>
      </c>
      <c r="B189" s="1" t="n">
        <v>45483.86464120371</v>
      </c>
      <c r="C189" s="1" t="n">
        <v>46066</v>
      </c>
      <c r="D189" t="inlineStr">
        <is>
          <t>ÖREBRO LÄN</t>
        </is>
      </c>
      <c r="E189" t="inlineStr">
        <is>
          <t>LEKEBERG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10746-2023</t>
        </is>
      </c>
      <c r="B190" s="1" t="n">
        <v>44988</v>
      </c>
      <c r="C190" s="1" t="n">
        <v>46066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39873-2024</t>
        </is>
      </c>
      <c r="B191" s="1" t="n">
        <v>45553</v>
      </c>
      <c r="C191" s="1" t="n">
        <v>46066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HYPERLINK("https://klasma.github.io/Logging_1814/knärot/A 39873-2024 karta knärot.png", "A 39873-2024")</f>
        <v/>
      </c>
      <c r="V191">
        <f>HYPERLINK("https://klasma.github.io/Logging_1814/klagomål/A 39873-2024 FSC-klagomål.docx", "A 39873-2024")</f>
        <v/>
      </c>
      <c r="W191">
        <f>HYPERLINK("https://klasma.github.io/Logging_1814/klagomålsmail/A 39873-2024 FSC-klagomål mail.docx", "A 39873-2024")</f>
        <v/>
      </c>
      <c r="X191">
        <f>HYPERLINK("https://klasma.github.io/Logging_1814/tillsyn/A 39873-2024 tillsynsbegäran.docx", "A 39873-2024")</f>
        <v/>
      </c>
      <c r="Y191">
        <f>HYPERLINK("https://klasma.github.io/Logging_1814/tillsynsmail/A 39873-2024 tillsynsbegäran mail.docx", "A 39873-2024")</f>
        <v/>
      </c>
    </row>
    <row r="192" ht="15" customHeight="1">
      <c r="A192" t="inlineStr">
        <is>
          <t>A 4468-2022</t>
        </is>
      </c>
      <c r="B192" s="1" t="n">
        <v>44589</v>
      </c>
      <c r="C192" s="1" t="n">
        <v>46066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36444-2022</t>
        </is>
      </c>
      <c r="B193" s="1" t="n">
        <v>44804.38798611111</v>
      </c>
      <c r="C193" s="1" t="n">
        <v>46066</v>
      </c>
      <c r="D193" t="inlineStr">
        <is>
          <t>ÖREBRO LÄN</t>
        </is>
      </c>
      <c r="E193" t="inlineStr">
        <is>
          <t>LEKEBERG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22198-2023</t>
        </is>
      </c>
      <c r="B194" s="1" t="n">
        <v>45069.78799768518</v>
      </c>
      <c r="C194" s="1" t="n">
        <v>46066</v>
      </c>
      <c r="D194" t="inlineStr">
        <is>
          <t>ÖREBRO LÄN</t>
        </is>
      </c>
      <c r="E194" t="inlineStr">
        <is>
          <t>LEKEBERG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38955-2023</t>
        </is>
      </c>
      <c r="B195" s="1" t="n">
        <v>45163</v>
      </c>
      <c r="C195" s="1" t="n">
        <v>46066</v>
      </c>
      <c r="D195" t="inlineStr">
        <is>
          <t>ÖREBRO LÄN</t>
        </is>
      </c>
      <c r="E195" t="inlineStr">
        <is>
          <t>LEKEBERG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18400-2025</t>
        </is>
      </c>
      <c r="B196" s="1" t="n">
        <v>45762.59549768519</v>
      </c>
      <c r="C196" s="1" t="n">
        <v>46066</v>
      </c>
      <c r="D196" t="inlineStr">
        <is>
          <t>ÖREBRO LÄN</t>
        </is>
      </c>
      <c r="E196" t="inlineStr">
        <is>
          <t>LEKEBERG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11287-2025</t>
        </is>
      </c>
      <c r="B197" s="1" t="n">
        <v>45726.42666666667</v>
      </c>
      <c r="C197" s="1" t="n">
        <v>46066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20344-2023</t>
        </is>
      </c>
      <c r="B198" s="1" t="n">
        <v>45056</v>
      </c>
      <c r="C198" s="1" t="n">
        <v>46066</v>
      </c>
      <c r="D198" t="inlineStr">
        <is>
          <t>ÖREBRO LÄN</t>
        </is>
      </c>
      <c r="E198" t="inlineStr">
        <is>
          <t>LEKEBERG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39875-2024</t>
        </is>
      </c>
      <c r="B199" s="1" t="n">
        <v>45553</v>
      </c>
      <c r="C199" s="1" t="n">
        <v>46066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39878-2024</t>
        </is>
      </c>
      <c r="B200" s="1" t="n">
        <v>45553</v>
      </c>
      <c r="C200" s="1" t="n">
        <v>46066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61314-2024</t>
        </is>
      </c>
      <c r="B201" s="1" t="n">
        <v>45646.31635416667</v>
      </c>
      <c r="C201" s="1" t="n">
        <v>46066</v>
      </c>
      <c r="D201" t="inlineStr">
        <is>
          <t>ÖREBRO LÄN</t>
        </is>
      </c>
      <c r="E201" t="inlineStr">
        <is>
          <t>LEKEBERG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5559-2024</t>
        </is>
      </c>
      <c r="B202" s="1" t="n">
        <v>45334</v>
      </c>
      <c r="C202" s="1" t="n">
        <v>46066</v>
      </c>
      <c r="D202" t="inlineStr">
        <is>
          <t>ÖREBRO LÄN</t>
        </is>
      </c>
      <c r="E202" t="inlineStr">
        <is>
          <t>LEKEBERG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48268-2021</t>
        </is>
      </c>
      <c r="B203" s="1" t="n">
        <v>44449.66981481481</v>
      </c>
      <c r="C203" s="1" t="n">
        <v>46066</v>
      </c>
      <c r="D203" t="inlineStr">
        <is>
          <t>ÖREBRO LÄN</t>
        </is>
      </c>
      <c r="E203" t="inlineStr">
        <is>
          <t>LEKEBERG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3643-2023</t>
        </is>
      </c>
      <c r="B204" s="1" t="n">
        <v>44950.69260416667</v>
      </c>
      <c r="C204" s="1" t="n">
        <v>46066</v>
      </c>
      <c r="D204" t="inlineStr">
        <is>
          <t>ÖREBRO LÄN</t>
        </is>
      </c>
      <c r="E204" t="inlineStr">
        <is>
          <t>LEKEBERG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28824-2024</t>
        </is>
      </c>
      <c r="B205" s="1" t="n">
        <v>45478</v>
      </c>
      <c r="C205" s="1" t="n">
        <v>46066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46066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4470-2022</t>
        </is>
      </c>
      <c r="B207" s="1" t="n">
        <v>44589</v>
      </c>
      <c r="C207" s="1" t="n">
        <v>46066</v>
      </c>
      <c r="D207" t="inlineStr">
        <is>
          <t>ÖREBRO LÄN</t>
        </is>
      </c>
      <c r="E207" t="inlineStr">
        <is>
          <t>LEKEBERG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28579-2022</t>
        </is>
      </c>
      <c r="B208" s="1" t="n">
        <v>44748</v>
      </c>
      <c r="C208" s="1" t="n">
        <v>46066</v>
      </c>
      <c r="D208" t="inlineStr">
        <is>
          <t>ÖREBRO LÄN</t>
        </is>
      </c>
      <c r="E208" t="inlineStr">
        <is>
          <t>LEKEBERG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30802-2023</t>
        </is>
      </c>
      <c r="B209" s="1" t="n">
        <v>45112</v>
      </c>
      <c r="C209" s="1" t="n">
        <v>46066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46066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39867-2024</t>
        </is>
      </c>
      <c r="B211" s="1" t="n">
        <v>45553.46100694445</v>
      </c>
      <c r="C211" s="1" t="n">
        <v>46066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30603-2021</t>
        </is>
      </c>
      <c r="B212" s="1" t="n">
        <v>44365.28403935185</v>
      </c>
      <c r="C212" s="1" t="n">
        <v>46066</v>
      </c>
      <c r="D212" t="inlineStr">
        <is>
          <t>ÖREBRO LÄN</t>
        </is>
      </c>
      <c r="E212" t="inlineStr">
        <is>
          <t>LEKEBERG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61470-2024</t>
        </is>
      </c>
      <c r="B213" s="1" t="n">
        <v>45646</v>
      </c>
      <c r="C213" s="1" t="n">
        <v>46066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46066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62160-2024</t>
        </is>
      </c>
      <c r="B215" s="1" t="n">
        <v>45656.80090277778</v>
      </c>
      <c r="C215" s="1" t="n">
        <v>46066</v>
      </c>
      <c r="D215" t="inlineStr">
        <is>
          <t>ÖREBRO LÄN</t>
        </is>
      </c>
      <c r="E215" t="inlineStr">
        <is>
          <t>LEKEBERG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50104-2024</t>
        </is>
      </c>
      <c r="B216" s="1" t="n">
        <v>45600.40037037037</v>
      </c>
      <c r="C216" s="1" t="n">
        <v>46066</v>
      </c>
      <c r="D216" t="inlineStr">
        <is>
          <t>ÖREBRO LÄN</t>
        </is>
      </c>
      <c r="E216" t="inlineStr">
        <is>
          <t>LEKEBERG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33334-2023</t>
        </is>
      </c>
      <c r="B217" s="1" t="n">
        <v>45128.33488425926</v>
      </c>
      <c r="C217" s="1" t="n">
        <v>46066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55727-2024</t>
        </is>
      </c>
      <c r="B218" s="1" t="n">
        <v>45622.90070601852</v>
      </c>
      <c r="C218" s="1" t="n">
        <v>46066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2026-02-13T11:05:59Z</dcterms:created>
  <dcterms:modified xmlns:dcterms="http://purl.org/dc/terms/" xmlns:xsi="http://www.w3.org/2001/XMLSchema-instance" xsi:type="dcterms:W3CDTF">2026-02-13T11:05:59Z</dcterms:modified>
</cp:coreProperties>
</file>