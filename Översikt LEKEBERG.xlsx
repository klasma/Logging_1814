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45731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45731</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45731</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45731</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45731</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45731</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45731</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45731</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45731</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45731</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45731</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45731</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45731</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45731</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45731</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45731</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45731</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45731</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45731</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45731</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45731</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45731</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45731</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45731</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45731</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HYPERLINK("https://klasma.github.io/Logging_1814/artfynd/A 10507-2025 artfynd.xlsx", "A 10507-2025")</f>
        <v/>
      </c>
      <c r="T26">
        <f>HYPERLINK("https://klasma.github.io/Logging_1814/kartor/A 10507-2025 karta.png", "A 10507-2025")</f>
        <v/>
      </c>
      <c r="V26">
        <f>HYPERLINK("https://klasma.github.io/Logging_1814/klagomål/A 10507-2025 FSC-klagomål.docx", "A 10507-2025")</f>
        <v/>
      </c>
      <c r="W26">
        <f>HYPERLINK("https://klasma.github.io/Logging_1814/klagomålsmail/A 10507-2025 FSC-klagomål mail.docx", "A 10507-2025")</f>
        <v/>
      </c>
      <c r="X26">
        <f>HYPERLINK("https://klasma.github.io/Logging_1814/tillsyn/A 10507-2025 tillsynsbegäran.docx", "A 10507-2025")</f>
        <v/>
      </c>
      <c r="Y26">
        <f>HYPERLINK("https://klasma.github.io/Logging_1814/tillsynsmail/A 10507-2025 tillsynsbegäran mail.docx", "A 10507-2025")</f>
        <v/>
      </c>
      <c r="Z26">
        <f>HYPERLINK("https://klasma.github.io/Logging_1814/fåglar/A 10507-2025 prioriterade fågelarter.docx", "A 10507-2025")</f>
        <v/>
      </c>
    </row>
    <row r="27" ht="15" customHeight="1">
      <c r="A27" t="inlineStr">
        <is>
          <t>A 11637-2025</t>
        </is>
      </c>
      <c r="B27" s="1" t="n">
        <v>45727</v>
      </c>
      <c r="C27" s="1" t="n">
        <v>45731</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HYPERLINK("https://klasma.github.io/Logging_1814/artfynd/A 11637-2025 artfynd.xlsx", "A 11637-2025")</f>
        <v/>
      </c>
      <c r="T27">
        <f>HYPERLINK("https://klasma.github.io/Logging_1814/kartor/A 11637-2025 karta.png", "A 11637-2025")</f>
        <v/>
      </c>
      <c r="V27">
        <f>HYPERLINK("https://klasma.github.io/Logging_1814/klagomål/A 11637-2025 FSC-klagomål.docx", "A 11637-2025")</f>
        <v/>
      </c>
      <c r="W27">
        <f>HYPERLINK("https://klasma.github.io/Logging_1814/klagomålsmail/A 11637-2025 FSC-klagomål mail.docx", "A 11637-2025")</f>
        <v/>
      </c>
      <c r="X27">
        <f>HYPERLINK("https://klasma.github.io/Logging_1814/tillsyn/A 11637-2025 tillsynsbegäran.docx", "A 11637-2025")</f>
        <v/>
      </c>
      <c r="Y27">
        <f>HYPERLINK("https://klasma.github.io/Logging_1814/tillsynsmail/A 11637-2025 tillsynsbegäran mail.docx", "A 11637-2025")</f>
        <v/>
      </c>
    </row>
    <row r="28" ht="15" customHeight="1">
      <c r="A28" t="inlineStr">
        <is>
          <t>A 18433-2019</t>
        </is>
      </c>
      <c r="B28" s="1" t="n">
        <v>43557</v>
      </c>
      <c r="C28" s="1" t="n">
        <v>45731</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45731</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45731</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45731</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45731</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45731</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45731</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45731</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45731</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45731</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45731</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45731</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45731</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45731</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45731</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45731</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45731</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45731</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45731</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45731</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45731</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45731</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45731</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45731</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45731</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45731</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45731</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45731</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45731</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45731</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45731</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45731</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45731</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45731</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45731</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45731</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45731</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45731</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45731</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45731</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45731</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45731</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45731</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45731</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45731</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45731</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45731</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45731</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45731</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45731</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45731</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45731</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45731</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45731</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45731</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45731</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45731</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45731</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45731</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45731</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45731</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45731</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45731</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45731</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45731</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45731</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45731</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45731</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45731</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45731</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45731</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45731</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45731</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45731</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45731</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45731</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45731</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45731</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45731</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45731</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45731</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45731</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45731</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45731</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45731</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45731</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45731</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45731</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45731</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45731</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45731</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45731</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45731</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45731</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45731</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45731</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45731</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45731</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45731</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45731</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45731</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45731</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45731</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45731</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45731</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45731</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45731</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45731</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45731</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45731</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45731</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45731</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45731</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45731</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45731</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45731</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45731</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45731</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45731</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45731</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45731</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45731</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45731</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45731</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45731</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45731</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45731</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45731</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45731</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45731</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45731</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45731</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45731</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45731</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45731</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45731</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45731</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45731</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45731</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45731</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45731</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45731</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45731</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45731</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45731</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45731</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45731</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45731</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45731</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45731</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45731</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45731</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45731</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45731</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45731</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45731</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45731</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45731</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45731</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45731</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45731</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45731</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45731</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45731</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45731</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45731</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45731</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45731</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45731</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45731</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45731</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45731</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45731</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45731</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45731</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45731</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45731</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45731</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45731</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45731</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45731</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45731</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45731</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45731</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45731</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45731</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45731</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45731</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45731</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45731</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45731</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45731</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45731</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45731</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45731</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45731</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45731</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45731</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45731</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45731</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45731</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45731</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45731</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45731</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45731</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45731</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45731</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45731</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45731</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45731</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45731</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45731</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45731</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45731</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45731</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45731</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45731</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45731</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45731</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45731</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45731</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45731</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45731</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45731</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45731</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45731</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45731</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45731</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45731</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45731</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45731</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45731</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45731</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45731</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45731</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45731</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45731</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45731</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45731</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45731</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45731</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45731</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45731</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45731</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45731</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45731</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45731</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45731</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45731</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45731</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45731</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45731</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45731</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45731</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45731</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45731</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45731</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45731</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45731</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45731</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45731</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45731</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45731</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45731</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45731</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45731</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45731</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45731</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45731</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45731</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45731</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45731</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45731</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45731</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45731</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45731</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45731</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45731</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45731</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45731</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45731</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45731</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45731</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45731</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45731</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45731</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45731</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45731</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45731</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45731</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45731</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45731</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45731</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45731</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45731</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45731</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45731</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45731</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45731</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45731</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45731</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45731</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45731</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45731</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45731</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45731</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45731</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45731</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45731</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45731</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45731</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45731</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45731</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45731</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45731</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45731</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45731</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45731</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45731</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45731</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45731</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45731</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45731</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45731</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45731</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45731</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45731</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45731</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45731</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45731</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45731</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45731</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45731</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45731</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45731</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45731</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45731</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45731</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45731</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45731</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45731</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45731</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45731</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45731</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45731</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45731</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45731</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45731</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45731</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45731</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45731</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45731</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45731</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45731</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45731</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45731</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45731</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45731</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45731</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45731</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45731</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45731</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45731</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45731</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45731</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11287-2025</t>
        </is>
      </c>
      <c r="B393" s="1" t="n">
        <v>45726</v>
      </c>
      <c r="C393" s="1" t="n">
        <v>45731</v>
      </c>
      <c r="D393" t="inlineStr">
        <is>
          <t>ÖREBRO LÄN</t>
        </is>
      </c>
      <c r="E393" t="inlineStr">
        <is>
          <t>LEKEBERG</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11289-2025</t>
        </is>
      </c>
      <c r="B394" s="1" t="n">
        <v>45726</v>
      </c>
      <c r="C394" s="1" t="n">
        <v>45731</v>
      </c>
      <c r="D394" t="inlineStr">
        <is>
          <t>ÖREBRO LÄN</t>
        </is>
      </c>
      <c r="E394" t="inlineStr">
        <is>
          <t>LEKEBERG</t>
        </is>
      </c>
      <c r="F394" t="inlineStr">
        <is>
          <t>Sveaskog</t>
        </is>
      </c>
      <c r="G394" t="n">
        <v>1.9</v>
      </c>
      <c r="H394" t="n">
        <v>0</v>
      </c>
      <c r="I394" t="n">
        <v>0</v>
      </c>
      <c r="J394" t="n">
        <v>0</v>
      </c>
      <c r="K394" t="n">
        <v>0</v>
      </c>
      <c r="L394" t="n">
        <v>0</v>
      </c>
      <c r="M394" t="n">
        <v>0</v>
      </c>
      <c r="N394" t="n">
        <v>0</v>
      </c>
      <c r="O394" t="n">
        <v>0</v>
      </c>
      <c r="P394" t="n">
        <v>0</v>
      </c>
      <c r="Q394" t="n">
        <v>0</v>
      </c>
      <c r="R394" s="2" t="inlineStr"/>
    </row>
    <row r="395">
      <c r="A395" t="inlineStr">
        <is>
          <t>A 12516-2025</t>
        </is>
      </c>
      <c r="B395" s="1" t="n">
        <v>45730</v>
      </c>
      <c r="C395" s="1" t="n">
        <v>45731</v>
      </c>
      <c r="D395" t="inlineStr">
        <is>
          <t>ÖREBRO LÄN</t>
        </is>
      </c>
      <c r="E395" t="inlineStr">
        <is>
          <t>LEKEBERG</t>
        </is>
      </c>
      <c r="F395" t="inlineStr">
        <is>
          <t>Allmännings- och besparingsskogar</t>
        </is>
      </c>
      <c r="G395" t="n">
        <v>4.8</v>
      </c>
      <c r="H395" t="n">
        <v>0</v>
      </c>
      <c r="I395" t="n">
        <v>0</v>
      </c>
      <c r="J395" t="n">
        <v>0</v>
      </c>
      <c r="K395" t="n">
        <v>0</v>
      </c>
      <c r="L395" t="n">
        <v>0</v>
      </c>
      <c r="M395" t="n">
        <v>0</v>
      </c>
      <c r="N395" t="n">
        <v>0</v>
      </c>
      <c r="O395" t="n">
        <v>0</v>
      </c>
      <c r="P395" t="n">
        <v>0</v>
      </c>
      <c r="Q395" t="n">
        <v>0</v>
      </c>
      <c r="R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2025-03-15T17:42:07Z</dcterms:created>
  <dcterms:modified xmlns:dcterms="http://purl.org/dc/terms/" xmlns:xsi="http://www.w3.org/2001/XMLSchema-instance" xsi:type="dcterms:W3CDTF">2025-03-15T17:42:07Z</dcterms:modified>
</cp:coreProperties>
</file>