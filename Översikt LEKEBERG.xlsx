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46319</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46319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46319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46319</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46319</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46319</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46319</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46319</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46319</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46319</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46319</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46319</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46319</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27240-2026</t>
        </is>
      </c>
      <c r="B16" t="inlineStr">
        <is>
          <t>avverkningsanmälan</t>
        </is>
      </c>
      <c r="C16" t="inlineStr">
        <is>
          <t>Föryngringsavverkning</t>
        </is>
      </c>
      <c r="D16" s="1" t="n">
        <v>46184</v>
      </c>
      <c r="E16" s="1" t="n">
        <v>46319</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11637-2025</t>
        </is>
      </c>
      <c r="B17" t="inlineStr">
        <is>
          <t>avverkningsanmälan</t>
        </is>
      </c>
      <c r="C17" t="inlineStr">
        <is>
          <t>Avverkning för att bevara och utveckla /försöksver</t>
        </is>
      </c>
      <c r="D17" s="1" t="n">
        <v>45727</v>
      </c>
      <c r="E17" s="1" t="n">
        <v>46319</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15523-2026</t>
        </is>
      </c>
      <c r="B18" t="inlineStr">
        <is>
          <t>avverkningsanmälan</t>
        </is>
      </c>
      <c r="C18" t="inlineStr">
        <is>
          <t>Föryngringsavverkning</t>
        </is>
      </c>
      <c r="D18" s="1" t="n">
        <v>46106</v>
      </c>
      <c r="E18" s="1" t="n">
        <v>46319</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35099-2025</t>
        </is>
      </c>
      <c r="B19" t="inlineStr">
        <is>
          <t>avverkningsanmälan</t>
        </is>
      </c>
      <c r="C19" t="inlineStr">
        <is>
          <t>Föryngringsavverkning</t>
        </is>
      </c>
      <c r="D19" s="1" t="n">
        <v>45852</v>
      </c>
      <c r="E19" s="1" t="n">
        <v>46319</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A 37012-2022</t>
        </is>
      </c>
      <c r="B20" t="inlineStr">
        <is>
          <t>avverkningsanmälan</t>
        </is>
      </c>
      <c r="C20" t="inlineStr">
        <is>
          <t>Föryngringsavverkning</t>
        </is>
      </c>
      <c r="D20" s="1" t="n">
        <v>44806</v>
      </c>
      <c r="E20" s="1" t="n">
        <v>46319</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46319</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46319</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18382-2023</t>
        </is>
      </c>
      <c r="B23" t="inlineStr">
        <is>
          <t>avverkningsanmälan</t>
        </is>
      </c>
      <c r="C23" t="inlineStr">
        <is>
          <t>Föryngringsavverkning</t>
        </is>
      </c>
      <c r="D23" s="1" t="n">
        <v>45042</v>
      </c>
      <c r="E23" s="1" t="n">
        <v>46319</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46319</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14353-2024</t>
        </is>
      </c>
      <c r="B25" t="inlineStr">
        <is>
          <t>avverkningsanmälan</t>
        </is>
      </c>
      <c r="C25" t="inlineStr">
        <is>
          <t>Föryngringsavverkning</t>
        </is>
      </c>
      <c r="D25" s="1" t="n">
        <v>45393</v>
      </c>
      <c r="E25" s="1" t="n">
        <v>46319</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9690-2024</t>
        </is>
      </c>
      <c r="B26" t="inlineStr">
        <is>
          <t>avverkningsanmälan</t>
        </is>
      </c>
      <c r="C26" t="inlineStr">
        <is>
          <t>Föryngringsavverkning</t>
        </is>
      </c>
      <c r="D26" s="1" t="n">
        <v>45362</v>
      </c>
      <c r="E26" s="1" t="n">
        <v>46319</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290-2025</t>
        </is>
      </c>
      <c r="B27" t="inlineStr">
        <is>
          <t>avverkningsanmälan</t>
        </is>
      </c>
      <c r="C27" t="inlineStr">
        <is>
          <t>Föryngringsavverkning</t>
        </is>
      </c>
      <c r="D27" s="1" t="n">
        <v>45656</v>
      </c>
      <c r="E27" s="1" t="n">
        <v>46319</v>
      </c>
      <c r="F27" t="inlineStr">
        <is>
          <t>ÖREBRO LÄN</t>
        </is>
      </c>
      <c r="G27" t="inlineStr">
        <is>
          <t>LEKEBERG</t>
        </is>
      </c>
      <c r="I27" t="n">
        <v>3.9</v>
      </c>
      <c r="J27" t="n">
        <v>0</v>
      </c>
      <c r="K27" t="n">
        <v>1</v>
      </c>
      <c r="L27" t="n">
        <v>0</v>
      </c>
      <c r="M27" t="n">
        <v>0</v>
      </c>
      <c r="N27" t="n">
        <v>0</v>
      </c>
      <c r="O27" t="n">
        <v>0</v>
      </c>
      <c r="P27" t="n">
        <v>0</v>
      </c>
      <c r="Q27" t="n">
        <v>0</v>
      </c>
      <c r="R27" t="n">
        <v>0</v>
      </c>
      <c r="S27" t="n">
        <v>1</v>
      </c>
      <c r="T27" t="n">
        <v>1</v>
      </c>
      <c r="U27" t="n">
        <v>1</v>
      </c>
      <c r="V27" s="2" t="inlineStr">
        <is>
          <t>Brandticka</t>
        </is>
      </c>
      <c r="W27">
        <f>HYPERLINK("https://klasma.github.io/Logging_1814/artfynd/A 290-2025 artfynd.xlsx", "A 290-2025")</f>
        <v/>
      </c>
      <c r="X27">
        <f>HYPERLINK("https://klasma.github.io/Logging_1814/kartor/A 290-2025 karta.png", "A 290-2025")</f>
        <v/>
      </c>
      <c r="Y27">
        <f>HYPERLINK("https://klasma.github.io/Logging_1814/kartor_geotiff/A 290-2025 georefererad karta.tif", "A 290-2025")</f>
        <v/>
      </c>
      <c r="AA27">
        <f>HYPERLINK("https://klasma.github.io/Logging_1814/klagomål/A 290-2025 FSC-klagomål.docx", "A 290-2025")</f>
        <v/>
      </c>
      <c r="AB27">
        <f>HYPERLINK("https://klasma.github.io/Logging_1814/klagomålsmail/A 290-2025 FSC-klagomål mail.docx", "A 290-2025")</f>
        <v/>
      </c>
      <c r="AC27">
        <f>HYPERLINK("https://klasma.github.io/Logging_1814/tillsyn/A 290-2025 tillsynsbegäran.docx", "A 290-2025")</f>
        <v/>
      </c>
      <c r="AD27">
        <f>HYPERLINK("https://klasma.github.io/Logging_1814/tillsynsmail/A 290-2025 tillsynsbegäran mail.docx", "A 290-2025")</f>
        <v/>
      </c>
    </row>
    <row r="28" ht="15" customHeight="1">
      <c r="A28" t="inlineStr">
        <is>
          <t>A 33259-2023</t>
        </is>
      </c>
      <c r="B28" t="inlineStr">
        <is>
          <t>avverkningsanmälan</t>
        </is>
      </c>
      <c r="C28" t="inlineStr">
        <is>
          <t>Föryngringsavverkning</t>
        </is>
      </c>
      <c r="D28" s="1" t="n">
        <v>45127</v>
      </c>
      <c r="E28" s="1" t="n">
        <v>46319</v>
      </c>
      <c r="F28" t="inlineStr">
        <is>
          <t>ÖREBRO LÄN</t>
        </is>
      </c>
      <c r="G28" t="inlineStr">
        <is>
          <t>LEKEBERG</t>
        </is>
      </c>
      <c r="I28" t="n">
        <v>0.6</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HYPERLINK("https://klasma.github.io/Logging_1814/artfynd/A 33259-2023 artfynd.xlsx", "A 33259-2023")</f>
        <v/>
      </c>
      <c r="X28">
        <f>HYPERLINK("https://klasma.github.io/Logging_1814/kartor/A 33259-2023 karta.png", "A 33259-2023")</f>
        <v/>
      </c>
      <c r="Y28">
        <f>HYPERLINK("https://klasma.github.io/Logging_1814/kartor_geotiff/A 33259-2023 georefererad karta.tif", "A 33259-2023")</f>
        <v/>
      </c>
      <c r="AA28">
        <f>HYPERLINK("https://klasma.github.io/Logging_1814/klagomål/A 33259-2023 FSC-klagomål.docx", "A 33259-2023")</f>
        <v/>
      </c>
      <c r="AB28">
        <f>HYPERLINK("https://klasma.github.io/Logging_1814/klagomålsmail/A 33259-2023 FSC-klagomål mail.docx", "A 33259-2023")</f>
        <v/>
      </c>
      <c r="AC28">
        <f>HYPERLINK("https://klasma.github.io/Logging_1814/tillsyn/A 33259-2023 tillsynsbegäran.docx", "A 33259-2023")</f>
        <v/>
      </c>
      <c r="AD28">
        <f>HYPERLINK("https://klasma.github.io/Logging_1814/tillsynsmail/A 33259-2023 tillsynsbegäran mail.docx", "A 33259-2023")</f>
        <v/>
      </c>
    </row>
    <row r="29" ht="15" customHeight="1">
      <c r="A29" t="inlineStr">
        <is>
          <t>A 41241-2024</t>
        </is>
      </c>
      <c r="B29" t="inlineStr">
        <is>
          <t>avverkningsanmälan</t>
        </is>
      </c>
      <c r="C29" t="inlineStr">
        <is>
          <t>Föryngringsavverkning</t>
        </is>
      </c>
      <c r="D29" s="1" t="n">
        <v>45559</v>
      </c>
      <c r="E29" s="1" t="n">
        <v>46319</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46319</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46319</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44857-2025</t>
        </is>
      </c>
      <c r="B32" t="inlineStr">
        <is>
          <t>avverkningsanmälan</t>
        </is>
      </c>
      <c r="C32" t="inlineStr">
        <is>
          <t>Föryngringsavverkning</t>
        </is>
      </c>
      <c r="D32" s="1" t="n">
        <v>45918</v>
      </c>
      <c r="E32" s="1" t="n">
        <v>46319</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1515-2024</t>
        </is>
      </c>
      <c r="B33" t="inlineStr">
        <is>
          <t>avverkningsanmälan</t>
        </is>
      </c>
      <c r="C33" t="inlineStr">
        <is>
          <t>Föryngringsavverkning</t>
        </is>
      </c>
      <c r="D33" s="1" t="n">
        <v>45305</v>
      </c>
      <c r="E33" s="1" t="n">
        <v>46319</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46319</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46319</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46319</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46319</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46319</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46319</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46319</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46319</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46319</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46319</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46319</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46319</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46319</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46319</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46319</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5043-2022</t>
        </is>
      </c>
      <c r="B49" t="inlineStr">
        <is>
          <t>avverkningsanmälan</t>
        </is>
      </c>
      <c r="C49" t="inlineStr">
        <is>
          <t>Föryngringsavverkning</t>
        </is>
      </c>
      <c r="D49" s="1" t="n">
        <v>44593</v>
      </c>
      <c r="E49" s="1" t="n">
        <v>46319</v>
      </c>
      <c r="F49" t="inlineStr">
        <is>
          <t>ÖREBRO LÄN</t>
        </is>
      </c>
      <c r="G49" t="inlineStr">
        <is>
          <t>LEKEBERG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46319</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46319</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20344-2023</t>
        </is>
      </c>
      <c r="B52" t="inlineStr">
        <is>
          <t>avverkningsanmälan</t>
        </is>
      </c>
      <c r="C52" t="inlineStr">
        <is>
          <t>Föryngringsavverkning</t>
        </is>
      </c>
      <c r="D52" s="1" t="n">
        <v>45056</v>
      </c>
      <c r="E52" s="1" t="n">
        <v>46319</v>
      </c>
      <c r="F52" t="inlineStr">
        <is>
          <t>ÖREBRO LÄN</t>
        </is>
      </c>
      <c r="G52" t="inlineStr">
        <is>
          <t>LEKEBERG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46319</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46319</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46319</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14169-2025</t>
        </is>
      </c>
      <c r="B56" t="inlineStr">
        <is>
          <t>avverkningsanmälan</t>
        </is>
      </c>
      <c r="C56" t="inlineStr">
        <is>
          <t>Föryngringsavverkning</t>
        </is>
      </c>
      <c r="D56" s="1" t="n">
        <v>45740</v>
      </c>
      <c r="E56" s="1" t="n">
        <v>46319</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1607-2023</t>
        </is>
      </c>
      <c r="B57" t="inlineStr">
        <is>
          <t>avverkningsanmälan</t>
        </is>
      </c>
      <c r="C57" t="inlineStr">
        <is>
          <t>Föryngringsavverkning</t>
        </is>
      </c>
      <c r="D57" s="1" t="n">
        <v>44937</v>
      </c>
      <c r="E57" s="1" t="n">
        <v>46319</v>
      </c>
      <c r="F57" t="inlineStr">
        <is>
          <t>ÖREBRO LÄN</t>
        </is>
      </c>
      <c r="G57" t="inlineStr">
        <is>
          <t>LEKEBERG</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46319</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64615-2023</t>
        </is>
      </c>
      <c r="B59" t="inlineStr">
        <is>
          <t>avverkningsanmälan</t>
        </is>
      </c>
      <c r="C59" t="inlineStr">
        <is>
          <t>Föryngringsavverkning</t>
        </is>
      </c>
      <c r="D59" s="1" t="n">
        <v>45281</v>
      </c>
      <c r="E59" s="1" t="n">
        <v>46319</v>
      </c>
      <c r="F59" t="inlineStr">
        <is>
          <t>ÖREBRO LÄN</t>
        </is>
      </c>
      <c r="G59" t="inlineStr">
        <is>
          <t>LEKEBERG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43621-2025</t>
        </is>
      </c>
      <c r="B60" t="inlineStr">
        <is>
          <t>avverkningsanmälan</t>
        </is>
      </c>
      <c r="C60" t="inlineStr">
        <is>
          <t>Föryngringsavverkning</t>
        </is>
      </c>
      <c r="D60" s="1" t="n">
        <v>45911</v>
      </c>
      <c r="E60" s="1" t="n">
        <v>46319</v>
      </c>
      <c r="F60" t="inlineStr">
        <is>
          <t>ÖREBRO LÄN</t>
        </is>
      </c>
      <c r="G60" t="inlineStr">
        <is>
          <t>LEKEBERG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41551-2024</t>
        </is>
      </c>
      <c r="B61" t="inlineStr">
        <is>
          <t>avverkningsanmälan</t>
        </is>
      </c>
      <c r="C61" t="inlineStr">
        <is>
          <t>Föryngringsavverkning</t>
        </is>
      </c>
      <c r="D61" s="1" t="n">
        <v>45560</v>
      </c>
      <c r="E61" s="1" t="n">
        <v>46319</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26121-2023</t>
        </is>
      </c>
      <c r="B62" t="inlineStr">
        <is>
          <t>avverkningsanmälan</t>
        </is>
      </c>
      <c r="C62" t="inlineStr">
        <is>
          <t>Föryngringsavverkning</t>
        </is>
      </c>
      <c r="D62" s="1" t="n">
        <v>45091</v>
      </c>
      <c r="E62" s="1" t="n">
        <v>46319</v>
      </c>
      <c r="F62" t="inlineStr">
        <is>
          <t>ÖREBRO LÄN</t>
        </is>
      </c>
      <c r="G62" t="inlineStr">
        <is>
          <t>LEKEBERG</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23907-2026</t>
        </is>
      </c>
      <c r="B63" t="inlineStr">
        <is>
          <t>avverkningsanmälan</t>
        </is>
      </c>
      <c r="C63" t="inlineStr">
        <is>
          <t>Föryngringsavverkning</t>
        </is>
      </c>
      <c r="D63" s="1" t="n">
        <v>46167</v>
      </c>
      <c r="E63" s="1" t="n">
        <v>46319</v>
      </c>
      <c r="F63" t="inlineStr">
        <is>
          <t>ÖREBRO LÄN</t>
        </is>
      </c>
      <c r="G63" t="inlineStr">
        <is>
          <t>LEKEBERG</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12963-2023</t>
        </is>
      </c>
      <c r="B64" t="inlineStr">
        <is>
          <t>avverkningsanmälan</t>
        </is>
      </c>
      <c r="C64" t="inlineStr">
        <is>
          <t>Föryngringsavverkning</t>
        </is>
      </c>
      <c r="D64" s="1" t="n">
        <v>45001</v>
      </c>
      <c r="E64" s="1" t="n">
        <v>46319</v>
      </c>
      <c r="F64" t="inlineStr">
        <is>
          <t>ÖREBRO LÄN</t>
        </is>
      </c>
      <c r="G64" t="inlineStr">
        <is>
          <t>LEKEBERG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39872-2024</t>
        </is>
      </c>
      <c r="B65" t="inlineStr">
        <is>
          <t>avverkningsanmälan</t>
        </is>
      </c>
      <c r="C65" t="inlineStr">
        <is>
          <t>Föryngringsavverkning</t>
        </is>
      </c>
      <c r="D65" s="1" t="n">
        <v>45553</v>
      </c>
      <c r="E65" s="1" t="n">
        <v>46319</v>
      </c>
      <c r="F65" t="inlineStr">
        <is>
          <t>ÖREBRO LÄN</t>
        </is>
      </c>
      <c r="G65" t="inlineStr">
        <is>
          <t>LEKEBERG</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27638-2025</t>
        </is>
      </c>
      <c r="B66" t="inlineStr">
        <is>
          <t>avverkningsanmälan</t>
        </is>
      </c>
      <c r="C66" t="inlineStr">
        <is>
          <t>Föryngringsavverkning</t>
        </is>
      </c>
      <c r="D66" s="1" t="n">
        <v>45813</v>
      </c>
      <c r="E66" s="1" t="n">
        <v>46319</v>
      </c>
      <c r="F66" t="inlineStr">
        <is>
          <t>ÖREBRO LÄN</t>
        </is>
      </c>
      <c r="G66" t="inlineStr">
        <is>
          <t>LEKEBERG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24920-2026</t>
        </is>
      </c>
      <c r="B67" t="inlineStr">
        <is>
          <t>avverkningsanmälan</t>
        </is>
      </c>
      <c r="C67" t="inlineStr">
        <is>
          <t>Föryngringsavverkning</t>
        </is>
      </c>
      <c r="D67" s="1" t="n">
        <v>46174</v>
      </c>
      <c r="E67" s="1" t="n">
        <v>46319</v>
      </c>
      <c r="F67" t="inlineStr">
        <is>
          <t>ÖREBRO LÄN</t>
        </is>
      </c>
      <c r="G67" t="inlineStr">
        <is>
          <t>LEKEBERG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24922-2026</t>
        </is>
      </c>
      <c r="B68" t="inlineStr">
        <is>
          <t>avverkningsanmälan</t>
        </is>
      </c>
      <c r="C68" t="inlineStr">
        <is>
          <t>Föryngringsavverkning</t>
        </is>
      </c>
      <c r="D68" s="1" t="n">
        <v>46174</v>
      </c>
      <c r="E68" s="1" t="n">
        <v>46319</v>
      </c>
      <c r="F68" t="inlineStr">
        <is>
          <t>ÖREBRO LÄN</t>
        </is>
      </c>
      <c r="G68" t="inlineStr">
        <is>
          <t>LEKEBERG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10746-2023</t>
        </is>
      </c>
      <c r="B69" t="inlineStr">
        <is>
          <t>avverkningsanmälan</t>
        </is>
      </c>
      <c r="C69" t="inlineStr">
        <is>
          <t>Föryngringsavverkning</t>
        </is>
      </c>
      <c r="D69" s="1" t="n">
        <v>44988</v>
      </c>
      <c r="E69" s="1" t="n">
        <v>46319</v>
      </c>
      <c r="F69" t="inlineStr">
        <is>
          <t>ÖREBRO LÄN</t>
        </is>
      </c>
      <c r="G69" t="inlineStr">
        <is>
          <t>LEKEBERG</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46319</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2175-2024</t>
        </is>
      </c>
      <c r="B71" t="inlineStr">
        <is>
          <t>avverkningsanmälan</t>
        </is>
      </c>
      <c r="C71" t="inlineStr">
        <is>
          <t>Föryngringsavverkning</t>
        </is>
      </c>
      <c r="D71" s="1" t="n">
        <v>45309</v>
      </c>
      <c r="E71" s="1" t="n">
        <v>46319</v>
      </c>
      <c r="F71" t="inlineStr">
        <is>
          <t>ÖREBRO LÄN</t>
        </is>
      </c>
      <c r="G71" t="inlineStr">
        <is>
          <t>LEKEBERG</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11676-2024</t>
        </is>
      </c>
      <c r="B72" t="inlineStr">
        <is>
          <t>avverkningsanmälan</t>
        </is>
      </c>
      <c r="C72" t="inlineStr">
        <is>
          <t>Föryngringsavverkning</t>
        </is>
      </c>
      <c r="D72" s="1" t="n">
        <v>45373</v>
      </c>
      <c r="E72" s="1" t="n">
        <v>46319</v>
      </c>
      <c r="F72" t="inlineStr">
        <is>
          <t>ÖREBRO LÄN</t>
        </is>
      </c>
      <c r="G72" t="inlineStr">
        <is>
          <t>LEKEBERG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21042-2023</t>
        </is>
      </c>
      <c r="B73" t="inlineStr">
        <is>
          <t>avverkningsanmälan</t>
        </is>
      </c>
      <c r="C73" t="inlineStr">
        <is>
          <t>Föryngringsavverkning</t>
        </is>
      </c>
      <c r="D73" s="1" t="n">
        <v>45056</v>
      </c>
      <c r="E73" s="1" t="n">
        <v>46319</v>
      </c>
      <c r="F73" t="inlineStr">
        <is>
          <t>ÖREBRO LÄN</t>
        </is>
      </c>
      <c r="G73" t="inlineStr">
        <is>
          <t>LEKEBERG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18400-2025</t>
        </is>
      </c>
      <c r="B74" t="inlineStr">
        <is>
          <t>avverkningsanmälan</t>
        </is>
      </c>
      <c r="C74" t="inlineStr">
        <is>
          <t>Föryngringsavverkning</t>
        </is>
      </c>
      <c r="D74" s="1" t="n">
        <v>45762</v>
      </c>
      <c r="E74" s="1" t="n">
        <v>46319</v>
      </c>
      <c r="F74" t="inlineStr">
        <is>
          <t>ÖREBRO LÄN</t>
        </is>
      </c>
      <c r="G74" t="inlineStr">
        <is>
          <t>LEKEBERG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39875-2024</t>
        </is>
      </c>
      <c r="B75" t="inlineStr">
        <is>
          <t>avverkningsanmälan</t>
        </is>
      </c>
      <c r="C75" t="inlineStr">
        <is>
          <t>Föryngringsavverkning</t>
        </is>
      </c>
      <c r="D75" s="1" t="n">
        <v>45553</v>
      </c>
      <c r="E75" s="1" t="n">
        <v>46319</v>
      </c>
      <c r="F75" t="inlineStr">
        <is>
          <t>ÖREBRO LÄN</t>
        </is>
      </c>
      <c r="G75" t="inlineStr">
        <is>
          <t>LEKEBERG</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39878-2024</t>
        </is>
      </c>
      <c r="B76" t="inlineStr">
        <is>
          <t>avverkningsanmälan</t>
        </is>
      </c>
      <c r="C76" t="inlineStr">
        <is>
          <t>Föryngringsavverkning</t>
        </is>
      </c>
      <c r="D76" s="1" t="n">
        <v>45553</v>
      </c>
      <c r="E76" s="1" t="n">
        <v>46319</v>
      </c>
      <c r="F76" t="inlineStr">
        <is>
          <t>ÖREBRO LÄN</t>
        </is>
      </c>
      <c r="G76" t="inlineStr">
        <is>
          <t>LEKEBERG</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26198-2026</t>
        </is>
      </c>
      <c r="B77" t="inlineStr">
        <is>
          <t>avverkningsanmälan</t>
        </is>
      </c>
      <c r="C77" t="inlineStr">
        <is>
          <t>Föryngringsavverkning</t>
        </is>
      </c>
      <c r="D77" s="1" t="n">
        <v>46182</v>
      </c>
      <c r="E77" s="1" t="n">
        <v>46319</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56282-2023</t>
        </is>
      </c>
      <c r="B78" t="inlineStr">
        <is>
          <t>avverkningsanmälan</t>
        </is>
      </c>
      <c r="C78" t="inlineStr">
        <is>
          <t>Föryngringsavverkning</t>
        </is>
      </c>
      <c r="D78" s="1" t="n">
        <v>45241</v>
      </c>
      <c r="E78" s="1" t="n">
        <v>46319</v>
      </c>
      <c r="F78" t="inlineStr">
        <is>
          <t>ÖREBRO LÄN</t>
        </is>
      </c>
      <c r="G78" t="inlineStr">
        <is>
          <t>LEKEBERG</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14702-2023</t>
        </is>
      </c>
      <c r="B79" t="inlineStr">
        <is>
          <t>avverkningsanmälan</t>
        </is>
      </c>
      <c r="C79" t="inlineStr">
        <is>
          <t>Föryngringsavverkning</t>
        </is>
      </c>
      <c r="D79" s="1" t="n">
        <v>45014</v>
      </c>
      <c r="E79" s="1" t="n">
        <v>46319</v>
      </c>
      <c r="F79" t="inlineStr">
        <is>
          <t>ÖREBRO LÄN</t>
        </is>
      </c>
      <c r="G79" t="inlineStr">
        <is>
          <t>LEKEBERG</t>
        </is>
      </c>
      <c r="I79" t="n">
        <v>12.1</v>
      </c>
      <c r="J79" t="n">
        <v>0</v>
      </c>
      <c r="K79" t="n">
        <v>0</v>
      </c>
      <c r="L79" t="n">
        <v>0</v>
      </c>
      <c r="M79" t="n">
        <v>0</v>
      </c>
      <c r="N79" t="n">
        <v>0</v>
      </c>
      <c r="O79" t="n">
        <v>0</v>
      </c>
      <c r="P79" t="n">
        <v>0</v>
      </c>
      <c r="Q79" t="n">
        <v>0</v>
      </c>
      <c r="R79" t="n">
        <v>0</v>
      </c>
      <c r="S79" t="n">
        <v>0</v>
      </c>
      <c r="T79" t="n">
        <v>0</v>
      </c>
      <c r="U79" t="n">
        <v>0</v>
      </c>
      <c r="V79" s="2" t="inlineStr"/>
    </row>
    <row r="80" ht="15" customHeight="1">
      <c r="A80" t="inlineStr">
        <is>
          <t>A 21886-2023</t>
        </is>
      </c>
      <c r="B80" t="inlineStr">
        <is>
          <t>avverkningsanmälan</t>
        </is>
      </c>
      <c r="C80" t="inlineStr">
        <is>
          <t>Föryngringsavverkning</t>
        </is>
      </c>
      <c r="D80" s="1" t="n">
        <v>45068</v>
      </c>
      <c r="E80" s="1" t="n">
        <v>46319</v>
      </c>
      <c r="F80" t="inlineStr">
        <is>
          <t>ÖREBRO LÄN</t>
        </is>
      </c>
      <c r="G80" t="inlineStr">
        <is>
          <t>LEKEBERG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21886-2023</t>
        </is>
      </c>
      <c r="B81" t="inlineStr">
        <is>
          <t>avverkningsanmälan</t>
        </is>
      </c>
      <c r="C81" t="inlineStr">
        <is>
          <t>Föryngringsavverkning</t>
        </is>
      </c>
      <c r="D81" s="1" t="n">
        <v>45068</v>
      </c>
      <c r="E81" s="1" t="n">
        <v>46319</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27384-2026</t>
        </is>
      </c>
      <c r="B82" t="inlineStr">
        <is>
          <t>avverkningsanmälan</t>
        </is>
      </c>
      <c r="C82" t="inlineStr">
        <is>
          <t>Föryngringsavverkning</t>
        </is>
      </c>
      <c r="D82" s="1" t="n">
        <v>46189</v>
      </c>
      <c r="E82" s="1" t="n">
        <v>46319</v>
      </c>
      <c r="F82" t="inlineStr">
        <is>
          <t>ÖREBRO LÄN</t>
        </is>
      </c>
      <c r="G82" t="inlineStr">
        <is>
          <t>LEKEBERG</t>
        </is>
      </c>
      <c r="H82" t="inlineStr">
        <is>
          <t>Sveaskog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27391-2026</t>
        </is>
      </c>
      <c r="B83" t="inlineStr">
        <is>
          <t>avverkningsanmälan</t>
        </is>
      </c>
      <c r="C83" t="inlineStr">
        <is>
          <t>Föryngringsavverkning</t>
        </is>
      </c>
      <c r="D83" s="1" t="n">
        <v>46189</v>
      </c>
      <c r="E83" s="1" t="n">
        <v>46319</v>
      </c>
      <c r="F83" t="inlineStr">
        <is>
          <t>ÖREBRO LÄN</t>
        </is>
      </c>
      <c r="G83" t="inlineStr">
        <is>
          <t>LEKEBERG</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27492-2026</t>
        </is>
      </c>
      <c r="B84" t="inlineStr">
        <is>
          <t>avverkningsanmälan</t>
        </is>
      </c>
      <c r="C84" t="inlineStr">
        <is>
          <t>Föryngringsavverkning</t>
        </is>
      </c>
      <c r="D84" s="1" t="n">
        <v>46189</v>
      </c>
      <c r="E84" s="1" t="n">
        <v>46319</v>
      </c>
      <c r="F84" t="inlineStr">
        <is>
          <t>ÖREBRO LÄN</t>
        </is>
      </c>
      <c r="G84" t="inlineStr">
        <is>
          <t>LEKEBERG</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27387-2026</t>
        </is>
      </c>
      <c r="B85" t="inlineStr">
        <is>
          <t>avverkningsanmälan</t>
        </is>
      </c>
      <c r="C85" t="inlineStr">
        <is>
          <t>Föryngringsavverkning</t>
        </is>
      </c>
      <c r="D85" s="1" t="n">
        <v>46189</v>
      </c>
      <c r="E85" s="1" t="n">
        <v>46319</v>
      </c>
      <c r="F85" t="inlineStr">
        <is>
          <t>ÖREBRO LÄN</t>
        </is>
      </c>
      <c r="G85" t="inlineStr">
        <is>
          <t>LEKEBERG</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27390-2026</t>
        </is>
      </c>
      <c r="B86" t="inlineStr">
        <is>
          <t>avverkningsanmälan</t>
        </is>
      </c>
      <c r="C86" t="inlineStr">
        <is>
          <t>Föryngringsavverkning</t>
        </is>
      </c>
      <c r="D86" s="1" t="n">
        <v>46189</v>
      </c>
      <c r="E86" s="1" t="n">
        <v>46319</v>
      </c>
      <c r="F86" t="inlineStr">
        <is>
          <t>ÖREBRO LÄN</t>
        </is>
      </c>
      <c r="G86" t="inlineStr">
        <is>
          <t>LEKEBERG</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54227-2024</t>
        </is>
      </c>
      <c r="B87" t="inlineStr">
        <is>
          <t>avverkningsanmälan</t>
        </is>
      </c>
      <c r="C87" t="inlineStr">
        <is>
          <t>Föryngringsavverkning</t>
        </is>
      </c>
      <c r="D87" s="1" t="n">
        <v>45616</v>
      </c>
      <c r="E87" s="1" t="n">
        <v>46319</v>
      </c>
      <c r="F87" t="inlineStr">
        <is>
          <t>ÖREBRO LÄN</t>
        </is>
      </c>
      <c r="G87" t="inlineStr">
        <is>
          <t>LEKEBERG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27940-2026</t>
        </is>
      </c>
      <c r="B88" t="inlineStr">
        <is>
          <t>avverkningsanmälan</t>
        </is>
      </c>
      <c r="C88" t="inlineStr">
        <is>
          <t>Föryngringsavverkning</t>
        </is>
      </c>
      <c r="D88" s="1" t="n">
        <v>46191</v>
      </c>
      <c r="E88" s="1" t="n">
        <v>46319</v>
      </c>
      <c r="F88" t="inlineStr">
        <is>
          <t>ÖREBRO LÄN</t>
        </is>
      </c>
      <c r="G88" t="inlineStr">
        <is>
          <t>LEKEBERG</t>
        </is>
      </c>
      <c r="H88" t="inlineStr">
        <is>
          <t>Allmännings- och besparingsskogar</t>
        </is>
      </c>
      <c r="I88" t="n">
        <v>7.5</v>
      </c>
      <c r="J88" t="n">
        <v>0</v>
      </c>
      <c r="K88" t="n">
        <v>0</v>
      </c>
      <c r="L88" t="n">
        <v>0</v>
      </c>
      <c r="M88" t="n">
        <v>0</v>
      </c>
      <c r="N88" t="n">
        <v>0</v>
      </c>
      <c r="O88" t="n">
        <v>0</v>
      </c>
      <c r="P88" t="n">
        <v>0</v>
      </c>
      <c r="Q88" t="n">
        <v>0</v>
      </c>
      <c r="R88" t="n">
        <v>0</v>
      </c>
      <c r="S88" t="n">
        <v>0</v>
      </c>
      <c r="T88" t="n">
        <v>0</v>
      </c>
      <c r="U88" t="n">
        <v>0</v>
      </c>
      <c r="V88" s="2" t="inlineStr"/>
    </row>
    <row r="89" ht="15" customHeight="1">
      <c r="A89" t="inlineStr">
        <is>
          <t>A 27575-2026</t>
        </is>
      </c>
      <c r="B89" t="inlineStr">
        <is>
          <t>avverkningsanmälan</t>
        </is>
      </c>
      <c r="C89" t="inlineStr">
        <is>
          <t>Föryngringsavverkning</t>
        </is>
      </c>
      <c r="D89" s="1" t="n">
        <v>46190</v>
      </c>
      <c r="E89" s="1" t="n">
        <v>46319</v>
      </c>
      <c r="F89" t="inlineStr">
        <is>
          <t>ÖREBRO LÄN</t>
        </is>
      </c>
      <c r="G89" t="inlineStr">
        <is>
          <t>LEKEBERG</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27577-2026</t>
        </is>
      </c>
      <c r="B90" t="inlineStr">
        <is>
          <t>avverkningsanmälan</t>
        </is>
      </c>
      <c r="C90" t="inlineStr">
        <is>
          <t>Föryngringsavverkning</t>
        </is>
      </c>
      <c r="D90" s="1" t="n">
        <v>46190</v>
      </c>
      <c r="E90" s="1" t="n">
        <v>46319</v>
      </c>
      <c r="F90" t="inlineStr">
        <is>
          <t>ÖREBRO LÄN</t>
        </is>
      </c>
      <c r="G90" t="inlineStr">
        <is>
          <t>LEKEBERG</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28178-2026</t>
        </is>
      </c>
      <c r="B91" t="inlineStr">
        <is>
          <t>avverkningsanmälan</t>
        </is>
      </c>
      <c r="C91" t="inlineStr">
        <is>
          <t>Föryngringsavverkning</t>
        </is>
      </c>
      <c r="D91" s="1" t="n">
        <v>46195</v>
      </c>
      <c r="E91" s="1" t="n">
        <v>46319</v>
      </c>
      <c r="F91" t="inlineStr">
        <is>
          <t>ÖREBRO LÄN</t>
        </is>
      </c>
      <c r="G91" t="inlineStr">
        <is>
          <t>LEKEBERG</t>
        </is>
      </c>
      <c r="H91" t="inlineStr">
        <is>
          <t>Sveaskog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46319</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28475-2026</t>
        </is>
      </c>
      <c r="B93" t="inlineStr">
        <is>
          <t>avverkningsanmälan</t>
        </is>
      </c>
      <c r="C93" t="inlineStr">
        <is>
          <t>Föryngringsavverkning</t>
        </is>
      </c>
      <c r="D93" s="1" t="n">
        <v>46197</v>
      </c>
      <c r="E93" s="1" t="n">
        <v>46319</v>
      </c>
      <c r="F93" t="inlineStr">
        <is>
          <t>ÖREBRO LÄN</t>
        </is>
      </c>
      <c r="G93" t="inlineStr">
        <is>
          <t>LEKEBERG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28477-2026</t>
        </is>
      </c>
      <c r="B94" t="inlineStr">
        <is>
          <t>avverkningsanmälan</t>
        </is>
      </c>
      <c r="C94" t="inlineStr">
        <is>
          <t>Föryngringsavverkning</t>
        </is>
      </c>
      <c r="D94" s="1" t="n">
        <v>46197</v>
      </c>
      <c r="E94" s="1" t="n">
        <v>46319</v>
      </c>
      <c r="F94" t="inlineStr">
        <is>
          <t>ÖREBRO LÄN</t>
        </is>
      </c>
      <c r="G94" t="inlineStr">
        <is>
          <t>LEKEBERG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28876-2026</t>
        </is>
      </c>
      <c r="B95" t="inlineStr">
        <is>
          <t>avverkningsanmälan</t>
        </is>
      </c>
      <c r="C95" t="inlineStr">
        <is>
          <t>Föryngringsavverkning</t>
        </is>
      </c>
      <c r="D95" s="1" t="n">
        <v>46199</v>
      </c>
      <c r="E95" s="1" t="n">
        <v>46319</v>
      </c>
      <c r="F95" t="inlineStr">
        <is>
          <t>ÖREBRO LÄN</t>
        </is>
      </c>
      <c r="G95" t="inlineStr">
        <is>
          <t>LEKEBERG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28874-2026</t>
        </is>
      </c>
      <c r="B96" t="inlineStr">
        <is>
          <t>avverkningsanmälan</t>
        </is>
      </c>
      <c r="C96" t="inlineStr">
        <is>
          <t>Föryngringsavverkning</t>
        </is>
      </c>
      <c r="D96" s="1" t="n">
        <v>46199</v>
      </c>
      <c r="E96" s="1" t="n">
        <v>46319</v>
      </c>
      <c r="F96" t="inlineStr">
        <is>
          <t>ÖREBRO LÄN</t>
        </is>
      </c>
      <c r="G96" t="inlineStr">
        <is>
          <t>LEKEBERG</t>
        </is>
      </c>
      <c r="H96" t="inlineStr">
        <is>
          <t>Sveaskog</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28875-2026</t>
        </is>
      </c>
      <c r="B97" t="inlineStr">
        <is>
          <t>avverkningsanmälan</t>
        </is>
      </c>
      <c r="C97" t="inlineStr">
        <is>
          <t>Föryngringsavverkning</t>
        </is>
      </c>
      <c r="D97" s="1" t="n">
        <v>46199</v>
      </c>
      <c r="E97" s="1" t="n">
        <v>46319</v>
      </c>
      <c r="F97" t="inlineStr">
        <is>
          <t>ÖREBRO LÄN</t>
        </is>
      </c>
      <c r="G97" t="inlineStr">
        <is>
          <t>LEKEBERG</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29263-2026</t>
        </is>
      </c>
      <c r="B98" t="inlineStr">
        <is>
          <t>avverkningsanmälan</t>
        </is>
      </c>
      <c r="C98" t="inlineStr">
        <is>
          <t>Föryngringsavverkning</t>
        </is>
      </c>
      <c r="D98" s="1" t="n">
        <v>46202</v>
      </c>
      <c r="E98" s="1" t="n">
        <v>46319</v>
      </c>
      <c r="F98" t="inlineStr">
        <is>
          <t>ÖREBRO LÄN</t>
        </is>
      </c>
      <c r="G98" t="inlineStr">
        <is>
          <t>LEKEBERG</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58935-2023</t>
        </is>
      </c>
      <c r="B99" t="inlineStr">
        <is>
          <t>avverkningsanmälan</t>
        </is>
      </c>
      <c r="C99" t="inlineStr">
        <is>
          <t>Avverkning för annat ändamål</t>
        </is>
      </c>
      <c r="D99" s="1" t="n">
        <v>45250</v>
      </c>
      <c r="E99" s="1" t="n">
        <v>46319</v>
      </c>
      <c r="F99" t="inlineStr">
        <is>
          <t>ÖREBRO LÄN</t>
        </is>
      </c>
      <c r="G99" t="inlineStr">
        <is>
          <t>LEKEBERG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14734-2024</t>
        </is>
      </c>
      <c r="B100" t="inlineStr">
        <is>
          <t>avverkningsanmälan</t>
        </is>
      </c>
      <c r="C100" t="inlineStr">
        <is>
          <t>Föryngringsavverkning</t>
        </is>
      </c>
      <c r="D100" s="1" t="n">
        <v>45397</v>
      </c>
      <c r="E100" s="1" t="n">
        <v>46319</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10273-2023</t>
        </is>
      </c>
      <c r="B101" t="inlineStr">
        <is>
          <t>avverkningsanmälan</t>
        </is>
      </c>
      <c r="C101" t="inlineStr">
        <is>
          <t>Avverkning för annat ändamål</t>
        </is>
      </c>
      <c r="D101" s="1" t="n">
        <v>44986</v>
      </c>
      <c r="E101" s="1" t="n">
        <v>46319</v>
      </c>
      <c r="F101" t="inlineStr">
        <is>
          <t>ÖREBRO LÄN</t>
        </is>
      </c>
      <c r="G101" t="inlineStr">
        <is>
          <t>LEKEBERG</t>
        </is>
      </c>
      <c r="I101" t="n">
        <v>12.8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50405-2024</t>
        </is>
      </c>
      <c r="B102" t="inlineStr">
        <is>
          <t>avverkningsanmälan</t>
        </is>
      </c>
      <c r="C102" t="inlineStr">
        <is>
          <t>Föryngringsavverkning</t>
        </is>
      </c>
      <c r="D102" s="1" t="n">
        <v>45601</v>
      </c>
      <c r="E102" s="1" t="n">
        <v>46319</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2039-2025</t>
        </is>
      </c>
      <c r="B103" t="inlineStr">
        <is>
          <t>avverkningsanmälan</t>
        </is>
      </c>
      <c r="C103" t="inlineStr">
        <is>
          <t>Föryngringsavverkning</t>
        </is>
      </c>
      <c r="D103" s="1" t="n">
        <v>45672</v>
      </c>
      <c r="E103" s="1" t="n">
        <v>46319</v>
      </c>
      <c r="F103" t="inlineStr">
        <is>
          <t>ÖREBRO LÄN</t>
        </is>
      </c>
      <c r="G103" t="inlineStr">
        <is>
          <t>LEKEBERG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31359-2026</t>
        </is>
      </c>
      <c r="B104" t="inlineStr">
        <is>
          <t>avverkningsanmälan</t>
        </is>
      </c>
      <c r="C104" t="inlineStr">
        <is>
          <t>Föryngringsavverkning</t>
        </is>
      </c>
      <c r="D104" s="1" t="n">
        <v>46219</v>
      </c>
      <c r="E104" s="1" t="n">
        <v>46319</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31361-2026</t>
        </is>
      </c>
      <c r="B105" t="inlineStr">
        <is>
          <t>avverkningsanmälan</t>
        </is>
      </c>
      <c r="C105" t="inlineStr">
        <is>
          <t>Föryngringsavverkning</t>
        </is>
      </c>
      <c r="D105" s="1" t="n">
        <v>46219</v>
      </c>
      <c r="E105" s="1" t="n">
        <v>46319</v>
      </c>
      <c r="F105" t="inlineStr">
        <is>
          <t>ÖREBRO LÄN</t>
        </is>
      </c>
      <c r="G105" t="inlineStr">
        <is>
          <t>LEKEBERG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61314-2024</t>
        </is>
      </c>
      <c r="B106" t="inlineStr">
        <is>
          <t>avverkningsanmälan</t>
        </is>
      </c>
      <c r="C106" t="inlineStr">
        <is>
          <t>Föryngringsavverkning</t>
        </is>
      </c>
      <c r="D106" s="1" t="n">
        <v>45646</v>
      </c>
      <c r="E106" s="1" t="n">
        <v>46319</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31360-2026</t>
        </is>
      </c>
      <c r="B107" t="inlineStr">
        <is>
          <t>avverkningsanmälan</t>
        </is>
      </c>
      <c r="C107" t="inlineStr">
        <is>
          <t>Föryngringsavverkning</t>
        </is>
      </c>
      <c r="D107" s="1" t="n">
        <v>46219</v>
      </c>
      <c r="E107" s="1" t="n">
        <v>46319</v>
      </c>
      <c r="F107" t="inlineStr">
        <is>
          <t>ÖREBRO LÄN</t>
        </is>
      </c>
      <c r="G107" t="inlineStr">
        <is>
          <t>LEKEBERG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61584-2025</t>
        </is>
      </c>
      <c r="B108" t="inlineStr">
        <is>
          <t>avverkningsanmälan</t>
        </is>
      </c>
      <c r="C108" t="inlineStr">
        <is>
          <t>Föryngringsavverkning</t>
        </is>
      </c>
      <c r="D108" s="1" t="n">
        <v>46002</v>
      </c>
      <c r="E108" s="1" t="n">
        <v>46319</v>
      </c>
      <c r="F108" t="inlineStr">
        <is>
          <t>ÖREBRO LÄN</t>
        </is>
      </c>
      <c r="G108" t="inlineStr">
        <is>
          <t>LEKEBERG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31478-2026</t>
        </is>
      </c>
      <c r="B109" t="inlineStr">
        <is>
          <t>avverkningsanmälan</t>
        </is>
      </c>
      <c r="C109" t="inlineStr">
        <is>
          <t>Föryngringsavverkning</t>
        </is>
      </c>
      <c r="D109" s="1" t="n">
        <v>46222</v>
      </c>
      <c r="E109" s="1" t="n">
        <v>46319</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61581-2025</t>
        </is>
      </c>
      <c r="B110" t="inlineStr">
        <is>
          <t>avverkningsanmälan</t>
        </is>
      </c>
      <c r="C110" t="inlineStr">
        <is>
          <t>Föryngringsavverkning</t>
        </is>
      </c>
      <c r="D110" s="1" t="n">
        <v>46002</v>
      </c>
      <c r="E110" s="1" t="n">
        <v>46319</v>
      </c>
      <c r="F110" t="inlineStr">
        <is>
          <t>ÖREBRO LÄN</t>
        </is>
      </c>
      <c r="G110" t="inlineStr">
        <is>
          <t>LEKEBERG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31814-2026</t>
        </is>
      </c>
      <c r="B111" t="inlineStr">
        <is>
          <t>avverkningsanmälan</t>
        </is>
      </c>
      <c r="C111" t="inlineStr">
        <is>
          <t>Föryngringsavverkning</t>
        </is>
      </c>
      <c r="D111" s="1" t="n">
        <v>46230</v>
      </c>
      <c r="E111" s="1" t="n">
        <v>46319</v>
      </c>
      <c r="F111" t="inlineStr">
        <is>
          <t>ÖREBRO LÄN</t>
        </is>
      </c>
      <c r="G111" t="inlineStr">
        <is>
          <t>LEKEBERG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31816-2026</t>
        </is>
      </c>
      <c r="B112" t="inlineStr">
        <is>
          <t>avverkningsanmälan</t>
        </is>
      </c>
      <c r="C112" t="inlineStr">
        <is>
          <t>Föryngringsavverkning</t>
        </is>
      </c>
      <c r="D112" s="1" t="n">
        <v>46230</v>
      </c>
      <c r="E112" s="1" t="n">
        <v>46319</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61470-2024</t>
        </is>
      </c>
      <c r="B113" t="inlineStr">
        <is>
          <t>avverkningsanmälan</t>
        </is>
      </c>
      <c r="C113" t="inlineStr">
        <is>
          <t>Föryngringsavverkning</t>
        </is>
      </c>
      <c r="D113" s="1" t="n">
        <v>45646</v>
      </c>
      <c r="E113" s="1" t="n">
        <v>46319</v>
      </c>
      <c r="F113" t="inlineStr">
        <is>
          <t>ÖREBRO LÄN</t>
        </is>
      </c>
      <c r="G113" t="inlineStr">
        <is>
          <t>LEKEBERG</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46319</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38008-2026</t>
        </is>
      </c>
      <c r="B115" t="inlineStr">
        <is>
          <t>avverkningsanmälan</t>
        </is>
      </c>
      <c r="C115" t="inlineStr">
        <is>
          <t>Föryngringsavverkning</t>
        </is>
      </c>
      <c r="D115" s="1" t="n">
        <v>46280</v>
      </c>
      <c r="E115" s="1" t="n">
        <v>46319</v>
      </c>
      <c r="F115" t="inlineStr">
        <is>
          <t>ÖREBRO LÄN</t>
        </is>
      </c>
      <c r="G115" t="inlineStr">
        <is>
          <t>LEKEBERG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62160-2024</t>
        </is>
      </c>
      <c r="B116" t="inlineStr">
        <is>
          <t>avverkningsanmälan</t>
        </is>
      </c>
      <c r="C116" t="inlineStr">
        <is>
          <t>Föryngringsavverkning</t>
        </is>
      </c>
      <c r="D116" s="1" t="n">
        <v>45656</v>
      </c>
      <c r="E116" s="1" t="n">
        <v>46319</v>
      </c>
      <c r="F116" t="inlineStr">
        <is>
          <t>ÖREBRO LÄN</t>
        </is>
      </c>
      <c r="G116" t="inlineStr">
        <is>
          <t>LEKEBERG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41233-2024</t>
        </is>
      </c>
      <c r="B117" t="inlineStr">
        <is>
          <t>avverkningsanmälan</t>
        </is>
      </c>
      <c r="C117" t="inlineStr">
        <is>
          <t>Föryngringsavverkning</t>
        </is>
      </c>
      <c r="D117" s="1" t="n">
        <v>45559</v>
      </c>
      <c r="E117" s="1" t="n">
        <v>46319</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46319</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46319</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38021-2026</t>
        </is>
      </c>
      <c r="B120" t="inlineStr">
        <is>
          <t>avverkningsanmälan</t>
        </is>
      </c>
      <c r="C120" t="inlineStr">
        <is>
          <t>Föryngringsavverkning</t>
        </is>
      </c>
      <c r="D120" s="1" t="n">
        <v>46280</v>
      </c>
      <c r="E120" s="1" t="n">
        <v>46319</v>
      </c>
      <c r="F120" t="inlineStr">
        <is>
          <t>ÖREBRO LÄN</t>
        </is>
      </c>
      <c r="G120" t="inlineStr">
        <is>
          <t>LEKEBERG</t>
        </is>
      </c>
      <c r="H120" t="inlineStr">
        <is>
          <t>Sveaskog</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50104-2024</t>
        </is>
      </c>
      <c r="B121" t="inlineStr">
        <is>
          <t>avverkningsanmälan</t>
        </is>
      </c>
      <c r="C121" t="inlineStr">
        <is>
          <t>Föryngringsavverkning</t>
        </is>
      </c>
      <c r="D121" s="1" t="n">
        <v>45600</v>
      </c>
      <c r="E121" s="1" t="n">
        <v>46319</v>
      </c>
      <c r="F121" t="inlineStr">
        <is>
          <t>ÖREBRO LÄN</t>
        </is>
      </c>
      <c r="G121" t="inlineStr">
        <is>
          <t>LEKEBERG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61644-2023</t>
        </is>
      </c>
      <c r="B122" t="inlineStr">
        <is>
          <t>avverkningsanmälan</t>
        </is>
      </c>
      <c r="C122" t="inlineStr">
        <is>
          <t>Föryngringsavverkning</t>
        </is>
      </c>
      <c r="D122" s="1" t="n">
        <v>45263</v>
      </c>
      <c r="E122" s="1" t="n">
        <v>46319</v>
      </c>
      <c r="F122" t="inlineStr">
        <is>
          <t>ÖREBRO LÄN</t>
        </is>
      </c>
      <c r="G122" t="inlineStr">
        <is>
          <t>LEKEBERG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33334-2023</t>
        </is>
      </c>
      <c r="B123" t="inlineStr">
        <is>
          <t>avverkningsanmälan</t>
        </is>
      </c>
      <c r="C123" t="inlineStr">
        <is>
          <t>Föryngringsavverkning</t>
        </is>
      </c>
      <c r="D123" s="1" t="n">
        <v>45128</v>
      </c>
      <c r="E123" s="1" t="n">
        <v>46319</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1574-2025</t>
        </is>
      </c>
      <c r="B124" t="inlineStr">
        <is>
          <t>avverkningsanmälan</t>
        </is>
      </c>
      <c r="C124" t="inlineStr">
        <is>
          <t>Föryngringsavverkning</t>
        </is>
      </c>
      <c r="D124" s="1" t="n">
        <v>45670</v>
      </c>
      <c r="E124" s="1" t="n">
        <v>46319</v>
      </c>
      <c r="F124" t="inlineStr">
        <is>
          <t>ÖREBRO LÄN</t>
        </is>
      </c>
      <c r="G124" t="inlineStr">
        <is>
          <t>LEKEBERG</t>
        </is>
      </c>
      <c r="H124" t="inlineStr">
        <is>
          <t>Allmännings- och besparingsskogar</t>
        </is>
      </c>
      <c r="I124" t="n">
        <v>9.699999999999999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46319</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55727-2024</t>
        </is>
      </c>
      <c r="B126" t="inlineStr">
        <is>
          <t>avverkningsanmälan</t>
        </is>
      </c>
      <c r="C126" t="inlineStr">
        <is>
          <t>Föryngringsavverkning</t>
        </is>
      </c>
      <c r="D126" s="1" t="n">
        <v>45622</v>
      </c>
      <c r="E126" s="1" t="n">
        <v>46319</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10274-2023</t>
        </is>
      </c>
      <c r="B127" t="inlineStr">
        <is>
          <t>avverkningsanmälan</t>
        </is>
      </c>
      <c r="C127" t="inlineStr">
        <is>
          <t>Föryngringsavverkning</t>
        </is>
      </c>
      <c r="D127" s="1" t="n">
        <v>44986</v>
      </c>
      <c r="E127" s="1" t="n">
        <v>46319</v>
      </c>
      <c r="F127" t="inlineStr">
        <is>
          <t>ÖREBRO LÄN</t>
        </is>
      </c>
      <c r="G127" t="inlineStr">
        <is>
          <t>LEKEBERG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58548-2024</t>
        </is>
      </c>
      <c r="B128" t="inlineStr">
        <is>
          <t>avverkningsanmälan</t>
        </is>
      </c>
      <c r="C128" t="inlineStr">
        <is>
          <t>Föryngringsavverkning</t>
        </is>
      </c>
      <c r="D128" s="1" t="n">
        <v>45635</v>
      </c>
      <c r="E128" s="1" t="n">
        <v>46319</v>
      </c>
      <c r="F128" t="inlineStr">
        <is>
          <t>ÖREBRO LÄN</t>
        </is>
      </c>
      <c r="G128" t="inlineStr">
        <is>
          <t>LEKEBERG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32975-2026</t>
        </is>
      </c>
      <c r="B129" t="inlineStr">
        <is>
          <t>avverkningsanmälan</t>
        </is>
      </c>
      <c r="C129" t="inlineStr">
        <is>
          <t>Föryngringsavverkning</t>
        </is>
      </c>
      <c r="D129" s="1" t="n">
        <v>46244</v>
      </c>
      <c r="E129" s="1" t="n">
        <v>46319</v>
      </c>
      <c r="F129" t="inlineStr">
        <is>
          <t>ÖREBRO LÄN</t>
        </is>
      </c>
      <c r="G129" t="inlineStr">
        <is>
          <t>LEKEBERG</t>
        </is>
      </c>
      <c r="H129" t="inlineStr">
        <is>
          <t>Sveaskog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33963-2023</t>
        </is>
      </c>
      <c r="B130" t="inlineStr">
        <is>
          <t>avverkningsanmälan</t>
        </is>
      </c>
      <c r="C130" t="inlineStr">
        <is>
          <t>Föryngringsavverkning</t>
        </is>
      </c>
      <c r="D130" s="1" t="n">
        <v>45134</v>
      </c>
      <c r="E130" s="1" t="n">
        <v>46319</v>
      </c>
      <c r="F130" t="inlineStr">
        <is>
          <t>ÖREBRO LÄN</t>
        </is>
      </c>
      <c r="G130" t="inlineStr">
        <is>
          <t>LEKEBERG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6223-2026</t>
        </is>
      </c>
      <c r="B131" t="inlineStr">
        <is>
          <t>avverkningsanmälan</t>
        </is>
      </c>
      <c r="C131" t="inlineStr">
        <is>
          <t>Föryngringsavverkning</t>
        </is>
      </c>
      <c r="D131" s="1" t="n">
        <v>46055</v>
      </c>
      <c r="E131" s="1" t="n">
        <v>46319</v>
      </c>
      <c r="F131" t="inlineStr">
        <is>
          <t>ÖREBRO LÄN</t>
        </is>
      </c>
      <c r="G131" t="inlineStr">
        <is>
          <t>LEKEBERG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26863-2025</t>
        </is>
      </c>
      <c r="B132" t="inlineStr">
        <is>
          <t>avverkningsanmälan</t>
        </is>
      </c>
      <c r="C132" t="inlineStr">
        <is>
          <t>Föryngringsavverkning</t>
        </is>
      </c>
      <c r="D132" s="1" t="n">
        <v>45810</v>
      </c>
      <c r="E132" s="1" t="n">
        <v>46319</v>
      </c>
      <c r="F132" t="inlineStr">
        <is>
          <t>ÖREBRO LÄN</t>
        </is>
      </c>
      <c r="G132" t="inlineStr">
        <is>
          <t>LEKEBERG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40002-2026</t>
        </is>
      </c>
      <c r="B133" t="inlineStr">
        <is>
          <t>avverkningsanmälan</t>
        </is>
      </c>
      <c r="C133" t="inlineStr">
        <is>
          <t>Föryngringsavverkning</t>
        </is>
      </c>
      <c r="D133" s="1" t="n">
        <v>46293</v>
      </c>
      <c r="E133" s="1" t="n">
        <v>46319</v>
      </c>
      <c r="F133" t="inlineStr">
        <is>
          <t>ÖREBRO LÄN</t>
        </is>
      </c>
      <c r="G133" t="inlineStr">
        <is>
          <t>LEKEBERG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9933-2026</t>
        </is>
      </c>
      <c r="B134" t="inlineStr">
        <is>
          <t>avverkningsanmälan</t>
        </is>
      </c>
      <c r="C134" t="inlineStr">
        <is>
          <t>Föryngringsavverkning</t>
        </is>
      </c>
      <c r="D134" s="1" t="n">
        <v>46073</v>
      </c>
      <c r="E134" s="1" t="n">
        <v>46319</v>
      </c>
      <c r="F134" t="inlineStr">
        <is>
          <t>ÖREBRO LÄN</t>
        </is>
      </c>
      <c r="G134" t="inlineStr">
        <is>
          <t>LEKEBERG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34650-2026</t>
        </is>
      </c>
      <c r="B135" t="inlineStr">
        <is>
          <t>avverkningsanmälan</t>
        </is>
      </c>
      <c r="C135" t="inlineStr">
        <is>
          <t>Avverkning för att bevara och utveckla /försöksver</t>
        </is>
      </c>
      <c r="D135" s="1" t="n">
        <v>46256</v>
      </c>
      <c r="E135" s="1" t="n">
        <v>46319</v>
      </c>
      <c r="F135" t="inlineStr">
        <is>
          <t>ÖREBRO LÄN</t>
        </is>
      </c>
      <c r="G135" t="inlineStr">
        <is>
          <t>LEKEBERG</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12546-2026</t>
        </is>
      </c>
      <c r="B136" t="inlineStr">
        <is>
          <t>avverkningsanmälan</t>
        </is>
      </c>
      <c r="C136" t="inlineStr">
        <is>
          <t>Föryngringsavverkning</t>
        </is>
      </c>
      <c r="D136" s="1" t="n">
        <v>46090</v>
      </c>
      <c r="E136" s="1" t="n">
        <v>46319</v>
      </c>
      <c r="F136" t="inlineStr">
        <is>
          <t>ÖREBRO LÄN</t>
        </is>
      </c>
      <c r="G136" t="inlineStr">
        <is>
          <t>LEKEBERG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12547-2026</t>
        </is>
      </c>
      <c r="B137" t="inlineStr">
        <is>
          <t>avverkningsanmälan</t>
        </is>
      </c>
      <c r="C137" t="inlineStr">
        <is>
          <t>Föryngringsavverkning</t>
        </is>
      </c>
      <c r="D137" s="1" t="n">
        <v>46090</v>
      </c>
      <c r="E137" s="1" t="n">
        <v>46319</v>
      </c>
      <c r="F137" t="inlineStr">
        <is>
          <t>ÖREBRO LÄN</t>
        </is>
      </c>
      <c r="G137" t="inlineStr">
        <is>
          <t>LEKEBERG</t>
        </is>
      </c>
      <c r="H137" t="inlineStr">
        <is>
          <t>Sveaskog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34649-2026</t>
        </is>
      </c>
      <c r="B138" t="inlineStr">
        <is>
          <t>avverkningsanmälan</t>
        </is>
      </c>
      <c r="C138" t="inlineStr">
        <is>
          <t>Avverkning för att bevara och utveckla /försöksver</t>
        </is>
      </c>
      <c r="D138" s="1" t="n">
        <v>46256</v>
      </c>
      <c r="E138" s="1" t="n">
        <v>46319</v>
      </c>
      <c r="F138" t="inlineStr">
        <is>
          <t>ÖREBRO LÄN</t>
        </is>
      </c>
      <c r="G138" t="inlineStr">
        <is>
          <t>LEKEBERG</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5559-2024</t>
        </is>
      </c>
      <c r="B139" t="inlineStr">
        <is>
          <t>avverkningsanmälan</t>
        </is>
      </c>
      <c r="C139" t="inlineStr">
        <is>
          <t>Avverkning för att bevara och utveckla /försöksver</t>
        </is>
      </c>
      <c r="D139" s="1" t="n">
        <v>45334</v>
      </c>
      <c r="E139" s="1" t="n">
        <v>46319</v>
      </c>
      <c r="F139" t="inlineStr">
        <is>
          <t>ÖREBRO LÄN</t>
        </is>
      </c>
      <c r="G139" t="inlineStr">
        <is>
          <t>LEKEBERG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41270-2026</t>
        </is>
      </c>
      <c r="B140" t="inlineStr">
        <is>
          <t>avverkningsanmälan</t>
        </is>
      </c>
      <c r="C140" t="inlineStr">
        <is>
          <t>Föryngringsavverkning</t>
        </is>
      </c>
      <c r="D140" s="1" t="n">
        <v>46300</v>
      </c>
      <c r="E140" s="1" t="n">
        <v>46319</v>
      </c>
      <c r="F140" t="inlineStr">
        <is>
          <t>ÖREBRO LÄN</t>
        </is>
      </c>
      <c r="G140" t="inlineStr">
        <is>
          <t>LEKEBERG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34648-2026</t>
        </is>
      </c>
      <c r="B141" t="inlineStr">
        <is>
          <t>avverkningsanmälan</t>
        </is>
      </c>
      <c r="C141" t="inlineStr">
        <is>
          <t>Föryngringsavverkning</t>
        </is>
      </c>
      <c r="D141" s="1" t="n">
        <v>46256</v>
      </c>
      <c r="E141" s="1" t="n">
        <v>46319</v>
      </c>
      <c r="F141" t="inlineStr">
        <is>
          <t>ÖREBRO LÄN</t>
        </is>
      </c>
      <c r="G141" t="inlineStr">
        <is>
          <t>LEKEBERG</t>
        </is>
      </c>
      <c r="H141" t="inlineStr">
        <is>
          <t>Sveaskog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34651-2026</t>
        </is>
      </c>
      <c r="B142" t="inlineStr">
        <is>
          <t>avverkningsanmälan</t>
        </is>
      </c>
      <c r="C142" t="inlineStr">
        <is>
          <t>Föryngringsavverkning</t>
        </is>
      </c>
      <c r="D142" s="1" t="n">
        <v>46256</v>
      </c>
      <c r="E142" s="1" t="n">
        <v>46319</v>
      </c>
      <c r="F142" t="inlineStr">
        <is>
          <t>ÖREBRO LÄN</t>
        </is>
      </c>
      <c r="G142" t="inlineStr">
        <is>
          <t>LEKEBERG</t>
        </is>
      </c>
      <c r="H142" t="inlineStr">
        <is>
          <t>Sveaskog</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46319</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18645-2023</t>
        </is>
      </c>
      <c r="B144" t="inlineStr">
        <is>
          <t>avverkningsanmälan</t>
        </is>
      </c>
      <c r="C144" t="inlineStr">
        <is>
          <t>Föryngringsavverkning</t>
        </is>
      </c>
      <c r="D144" s="1" t="n">
        <v>45043</v>
      </c>
      <c r="E144" s="1" t="n">
        <v>46319</v>
      </c>
      <c r="F144" t="inlineStr">
        <is>
          <t>ÖREBRO LÄN</t>
        </is>
      </c>
      <c r="G144" t="inlineStr">
        <is>
          <t>LEKEBERG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18325-2026</t>
        </is>
      </c>
      <c r="B145" t="inlineStr">
        <is>
          <t>avverkningsanmälan</t>
        </is>
      </c>
      <c r="C145" t="inlineStr">
        <is>
          <t>Föryngringsavverkning</t>
        </is>
      </c>
      <c r="D145" s="1" t="n">
        <v>46126</v>
      </c>
      <c r="E145" s="1" t="n">
        <v>46319</v>
      </c>
      <c r="F145" t="inlineStr">
        <is>
          <t>ÖREBRO LÄN</t>
        </is>
      </c>
      <c r="G145" t="inlineStr">
        <is>
          <t>LEKEBERG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4467-2022</t>
        </is>
      </c>
      <c r="B146" t="inlineStr">
        <is>
          <t>avverkningsanmälan</t>
        </is>
      </c>
      <c r="C146" t="inlineStr">
        <is>
          <t>Föryngringsavverkning</t>
        </is>
      </c>
      <c r="D146" s="1" t="n">
        <v>44589</v>
      </c>
      <c r="E146" s="1" t="n">
        <v>46319</v>
      </c>
      <c r="F146" t="inlineStr">
        <is>
          <t>ÖREBRO LÄN</t>
        </is>
      </c>
      <c r="G146" t="inlineStr">
        <is>
          <t>LEKEBERG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41350-2023</t>
        </is>
      </c>
      <c r="B147" t="inlineStr">
        <is>
          <t>avverkningsanmälan</t>
        </is>
      </c>
      <c r="C147" t="inlineStr">
        <is>
          <t>Föryngringsavverkning</t>
        </is>
      </c>
      <c r="D147" s="1" t="n">
        <v>45174</v>
      </c>
      <c r="E147" s="1" t="n">
        <v>46319</v>
      </c>
      <c r="F147" t="inlineStr">
        <is>
          <t>ÖREBRO LÄN</t>
        </is>
      </c>
      <c r="G147" t="inlineStr">
        <is>
          <t>LEKEBERG</t>
        </is>
      </c>
      <c r="H147" t="inlineStr">
        <is>
          <t>Allmännings- och besparingsskogar</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1599-2025</t>
        </is>
      </c>
      <c r="B148" t="inlineStr">
        <is>
          <t>avverkningsanmälan</t>
        </is>
      </c>
      <c r="C148" t="inlineStr">
        <is>
          <t>Föryngringsavverkning</t>
        </is>
      </c>
      <c r="D148" s="1" t="n">
        <v>45670</v>
      </c>
      <c r="E148" s="1" t="n">
        <v>46319</v>
      </c>
      <c r="F148" t="inlineStr">
        <is>
          <t>ÖREBRO LÄN</t>
        </is>
      </c>
      <c r="G148" t="inlineStr">
        <is>
          <t>LEKEBERG</t>
        </is>
      </c>
      <c r="H148" t="inlineStr">
        <is>
          <t>Allmännings- och besparingsskogar</t>
        </is>
      </c>
      <c r="I148" t="n">
        <v>18.8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33204-2025</t>
        </is>
      </c>
      <c r="B149" t="inlineStr">
        <is>
          <t>avverkningsanmälan</t>
        </is>
      </c>
      <c r="C149" t="inlineStr">
        <is>
          <t>Föryngringsavverkning</t>
        </is>
      </c>
      <c r="D149" s="1" t="n">
        <v>45840</v>
      </c>
      <c r="E149" s="1" t="n">
        <v>46319</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1157-2025</t>
        </is>
      </c>
      <c r="B150" t="inlineStr">
        <is>
          <t>avverkningsanmälan</t>
        </is>
      </c>
      <c r="C150" t="inlineStr">
        <is>
          <t>Föryngringsavverkning</t>
        </is>
      </c>
      <c r="D150" s="1" t="n">
        <v>45666</v>
      </c>
      <c r="E150" s="1" t="n">
        <v>46319</v>
      </c>
      <c r="F150" t="inlineStr">
        <is>
          <t>ÖREBRO LÄN</t>
        </is>
      </c>
      <c r="G150" t="inlineStr">
        <is>
          <t>LEKEBERG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53910-2023</t>
        </is>
      </c>
      <c r="B151" t="inlineStr">
        <is>
          <t>avverkningsanmälan</t>
        </is>
      </c>
      <c r="C151" t="inlineStr">
        <is>
          <t>Föryngringsavverkning</t>
        </is>
      </c>
      <c r="D151" s="1" t="n">
        <v>45231</v>
      </c>
      <c r="E151" s="1" t="n">
        <v>46319</v>
      </c>
      <c r="F151" t="inlineStr">
        <is>
          <t>ÖREBRO LÄN</t>
        </is>
      </c>
      <c r="G151" t="inlineStr">
        <is>
          <t>LEKEBERG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40240-2024</t>
        </is>
      </c>
      <c r="B152" t="inlineStr">
        <is>
          <t>avverkningsanmälan</t>
        </is>
      </c>
      <c r="C152" t="inlineStr">
        <is>
          <t>Föryngringsavverkning</t>
        </is>
      </c>
      <c r="D152" s="1" t="n">
        <v>45554</v>
      </c>
      <c r="E152" s="1" t="n">
        <v>46319</v>
      </c>
      <c r="F152" t="inlineStr">
        <is>
          <t>ÖREBRO LÄN</t>
        </is>
      </c>
      <c r="G152" t="inlineStr">
        <is>
          <t>LEKEBERG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37001-2026</t>
        </is>
      </c>
      <c r="B153" t="inlineStr">
        <is>
          <t>avverkningsanmälan</t>
        </is>
      </c>
      <c r="C153" t="inlineStr">
        <is>
          <t>Föryngringsavverkning</t>
        </is>
      </c>
      <c r="D153" s="1" t="n">
        <v>46273</v>
      </c>
      <c r="E153" s="1" t="n">
        <v>46319</v>
      </c>
      <c r="F153" t="inlineStr">
        <is>
          <t>ÖREBRO LÄN</t>
        </is>
      </c>
      <c r="G153" t="inlineStr">
        <is>
          <t>LEKEBERG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37007-2026</t>
        </is>
      </c>
      <c r="B154" t="inlineStr">
        <is>
          <t>avverkningsanmälan</t>
        </is>
      </c>
      <c r="C154" t="inlineStr">
        <is>
          <t>Föryngringsavverkning</t>
        </is>
      </c>
      <c r="D154" s="1" t="n">
        <v>46273</v>
      </c>
      <c r="E154" s="1" t="n">
        <v>46319</v>
      </c>
      <c r="F154" t="inlineStr">
        <is>
          <t>ÖREBRO LÄN</t>
        </is>
      </c>
      <c r="G154" t="inlineStr">
        <is>
          <t>LEKEBERG</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36998-2026</t>
        </is>
      </c>
      <c r="B155" t="inlineStr">
        <is>
          <t>avverkningsanmälan</t>
        </is>
      </c>
      <c r="C155" t="inlineStr">
        <is>
          <t>Föryngringsavverkning</t>
        </is>
      </c>
      <c r="D155" s="1" t="n">
        <v>46273</v>
      </c>
      <c r="E155" s="1" t="n">
        <v>46319</v>
      </c>
      <c r="F155" t="inlineStr">
        <is>
          <t>ÖREBRO LÄN</t>
        </is>
      </c>
      <c r="G155" t="inlineStr">
        <is>
          <t>LEKEBERG</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36999-2026</t>
        </is>
      </c>
      <c r="B156" t="inlineStr">
        <is>
          <t>avverkningsanmälan</t>
        </is>
      </c>
      <c r="C156" t="inlineStr">
        <is>
          <t>Föryngringsavverkning</t>
        </is>
      </c>
      <c r="D156" s="1" t="n">
        <v>46273</v>
      </c>
      <c r="E156" s="1" t="n">
        <v>46319</v>
      </c>
      <c r="F156" t="inlineStr">
        <is>
          <t>ÖREBRO LÄN</t>
        </is>
      </c>
      <c r="G156" t="inlineStr">
        <is>
          <t>LEKEBERG</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36991-2026</t>
        </is>
      </c>
      <c r="B157" t="inlineStr">
        <is>
          <t>avverkningsanmälan</t>
        </is>
      </c>
      <c r="C157" t="inlineStr">
        <is>
          <t>Föryngringsavverkning</t>
        </is>
      </c>
      <c r="D157" s="1" t="n">
        <v>46273</v>
      </c>
      <c r="E157" s="1" t="n">
        <v>46319</v>
      </c>
      <c r="F157" t="inlineStr">
        <is>
          <t>ÖREBRO LÄN</t>
        </is>
      </c>
      <c r="G157" t="inlineStr">
        <is>
          <t>LEKEBERG</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37008-2026</t>
        </is>
      </c>
      <c r="B158" t="inlineStr">
        <is>
          <t>avverkningsanmälan</t>
        </is>
      </c>
      <c r="C158" t="inlineStr">
        <is>
          <t>Föryngringsavverkning</t>
        </is>
      </c>
      <c r="D158" s="1" t="n">
        <v>46273</v>
      </c>
      <c r="E158" s="1" t="n">
        <v>46319</v>
      </c>
      <c r="F158" t="inlineStr">
        <is>
          <t>ÖREBRO LÄN</t>
        </is>
      </c>
      <c r="G158" t="inlineStr">
        <is>
          <t>LEKEBERG</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19045-2023</t>
        </is>
      </c>
      <c r="B159" t="inlineStr">
        <is>
          <t>avverkningsanmälan</t>
        </is>
      </c>
      <c r="C159" t="inlineStr">
        <is>
          <t>Föryngringsavverkning</t>
        </is>
      </c>
      <c r="D159" s="1" t="n">
        <v>45047</v>
      </c>
      <c r="E159" s="1" t="n">
        <v>46319</v>
      </c>
      <c r="F159" t="inlineStr">
        <is>
          <t>ÖREBRO LÄN</t>
        </is>
      </c>
      <c r="G159" t="inlineStr">
        <is>
          <t>LEKEBERG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36996-2026</t>
        </is>
      </c>
      <c r="B160" t="inlineStr">
        <is>
          <t>avverkningsanmälan</t>
        </is>
      </c>
      <c r="C160" t="inlineStr">
        <is>
          <t>Föryngringsavverkning</t>
        </is>
      </c>
      <c r="D160" s="1" t="n">
        <v>46273</v>
      </c>
      <c r="E160" s="1" t="n">
        <v>46319</v>
      </c>
      <c r="F160" t="inlineStr">
        <is>
          <t>ÖREBRO LÄN</t>
        </is>
      </c>
      <c r="G160" t="inlineStr">
        <is>
          <t>LEKEBERG</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37003-2026</t>
        </is>
      </c>
      <c r="B161" t="inlineStr">
        <is>
          <t>avverkningsanmälan</t>
        </is>
      </c>
      <c r="C161" t="inlineStr">
        <is>
          <t>Föryngringsavverkning</t>
        </is>
      </c>
      <c r="D161" s="1" t="n">
        <v>46273</v>
      </c>
      <c r="E161" s="1" t="n">
        <v>46319</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37004-2026</t>
        </is>
      </c>
      <c r="B162" t="inlineStr">
        <is>
          <t>avverkningsanmälan</t>
        </is>
      </c>
      <c r="C162" t="inlineStr">
        <is>
          <t>Föryngringsavverkning</t>
        </is>
      </c>
      <c r="D162" s="1" t="n">
        <v>46273</v>
      </c>
      <c r="E162" s="1" t="n">
        <v>46319</v>
      </c>
      <c r="F162" t="inlineStr">
        <is>
          <t>ÖREBRO LÄN</t>
        </is>
      </c>
      <c r="G162" t="inlineStr">
        <is>
          <t>LEKEBERG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37005-2026</t>
        </is>
      </c>
      <c r="B163" t="inlineStr">
        <is>
          <t>avverkningsanmälan</t>
        </is>
      </c>
      <c r="C163" t="inlineStr">
        <is>
          <t>Föryngringsavverkning</t>
        </is>
      </c>
      <c r="D163" s="1" t="n">
        <v>46273</v>
      </c>
      <c r="E163" s="1" t="n">
        <v>46319</v>
      </c>
      <c r="F163" t="inlineStr">
        <is>
          <t>ÖREBRO LÄN</t>
        </is>
      </c>
      <c r="G163" t="inlineStr">
        <is>
          <t>LEKEBERG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36997-2026</t>
        </is>
      </c>
      <c r="B164" t="inlineStr">
        <is>
          <t>avverkningsanmälan</t>
        </is>
      </c>
      <c r="C164" t="inlineStr">
        <is>
          <t>Föryngringsavverkning</t>
        </is>
      </c>
      <c r="D164" s="1" t="n">
        <v>46273</v>
      </c>
      <c r="E164" s="1" t="n">
        <v>46319</v>
      </c>
      <c r="F164" t="inlineStr">
        <is>
          <t>ÖREBRO LÄN</t>
        </is>
      </c>
      <c r="G164" t="inlineStr">
        <is>
          <t>LEKEBERG</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37006-2026</t>
        </is>
      </c>
      <c r="B165" t="inlineStr">
        <is>
          <t>avverkningsanmälan</t>
        </is>
      </c>
      <c r="C165" t="inlineStr">
        <is>
          <t>Föryngringsavverkning</t>
        </is>
      </c>
      <c r="D165" s="1" t="n">
        <v>46273</v>
      </c>
      <c r="E165" s="1" t="n">
        <v>46319</v>
      </c>
      <c r="F165" t="inlineStr">
        <is>
          <t>ÖREBRO LÄN</t>
        </is>
      </c>
      <c r="G165" t="inlineStr">
        <is>
          <t>LEKEBERG</t>
        </is>
      </c>
      <c r="H165" t="inlineStr">
        <is>
          <t>Sveaskog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36992-2026</t>
        </is>
      </c>
      <c r="B166" t="inlineStr">
        <is>
          <t>avverkningsanmälan</t>
        </is>
      </c>
      <c r="C166" t="inlineStr">
        <is>
          <t>Föryngringsavverkning</t>
        </is>
      </c>
      <c r="D166" s="1" t="n">
        <v>46273</v>
      </c>
      <c r="E166" s="1" t="n">
        <v>46319</v>
      </c>
      <c r="F166" t="inlineStr">
        <is>
          <t>ÖREBRO LÄN</t>
        </is>
      </c>
      <c r="G166" t="inlineStr">
        <is>
          <t>LEKEBERG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36994-2026</t>
        </is>
      </c>
      <c r="B167" t="inlineStr">
        <is>
          <t>avverkningsanmälan</t>
        </is>
      </c>
      <c r="C167" t="inlineStr">
        <is>
          <t>Föryngringsavverkning</t>
        </is>
      </c>
      <c r="D167" s="1" t="n">
        <v>46273</v>
      </c>
      <c r="E167" s="1" t="n">
        <v>46319</v>
      </c>
      <c r="F167" t="inlineStr">
        <is>
          <t>ÖREBRO LÄN</t>
        </is>
      </c>
      <c r="G167" t="inlineStr">
        <is>
          <t>LEKEBERG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37251-2026</t>
        </is>
      </c>
      <c r="B168" t="inlineStr">
        <is>
          <t>avverkningsanmälan</t>
        </is>
      </c>
      <c r="C168" t="inlineStr">
        <is>
          <t>Föryngringsavverkning</t>
        </is>
      </c>
      <c r="D168" s="1" t="n">
        <v>46274</v>
      </c>
      <c r="E168" s="1" t="n">
        <v>46319</v>
      </c>
      <c r="F168" t="inlineStr">
        <is>
          <t>ÖREBRO LÄN</t>
        </is>
      </c>
      <c r="G168" t="inlineStr">
        <is>
          <t>LEKEBERG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22323-2023</t>
        </is>
      </c>
      <c r="B169" t="inlineStr">
        <is>
          <t>avverkningsanmälan</t>
        </is>
      </c>
      <c r="C169" t="inlineStr">
        <is>
          <t>Avverkning för att bevara och utveckla /försöksver</t>
        </is>
      </c>
      <c r="D169" s="1" t="n">
        <v>45068</v>
      </c>
      <c r="E169" s="1" t="n">
        <v>46319</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30747-2023</t>
        </is>
      </c>
      <c r="B170" t="inlineStr">
        <is>
          <t>avverkningsanmälan</t>
        </is>
      </c>
      <c r="C170" t="inlineStr">
        <is>
          <t>Föryngringsavverkning</t>
        </is>
      </c>
      <c r="D170" s="1" t="n">
        <v>45112</v>
      </c>
      <c r="E170" s="1" t="n">
        <v>46319</v>
      </c>
      <c r="F170" t="inlineStr">
        <is>
          <t>ÖREBRO LÄN</t>
        </is>
      </c>
      <c r="G170" t="inlineStr">
        <is>
          <t>LEKEBERG</t>
        </is>
      </c>
      <c r="H170" t="inlineStr">
        <is>
          <t>Allmännings- och besparingsskogar</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30802-2023</t>
        </is>
      </c>
      <c r="B171" t="inlineStr">
        <is>
          <t>avverkningsanmälan</t>
        </is>
      </c>
      <c r="C171" t="inlineStr">
        <is>
          <t>Avverkning för att bevara och utveckla /försöksver</t>
        </is>
      </c>
      <c r="D171" s="1" t="n">
        <v>45112</v>
      </c>
      <c r="E171" s="1" t="n">
        <v>46319</v>
      </c>
      <c r="F171" t="inlineStr">
        <is>
          <t>ÖREBRO LÄN</t>
        </is>
      </c>
      <c r="G171" t="inlineStr">
        <is>
          <t>LEKEBERG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11794-2023</t>
        </is>
      </c>
      <c r="B172" t="inlineStr">
        <is>
          <t>avverkningsanmälan</t>
        </is>
      </c>
      <c r="C172" t="inlineStr">
        <is>
          <t>Föryngringsavverkning</t>
        </is>
      </c>
      <c r="D172" s="1" t="n">
        <v>44994</v>
      </c>
      <c r="E172" s="1" t="n">
        <v>46319</v>
      </c>
      <c r="F172" t="inlineStr">
        <is>
          <t>ÖREBRO LÄN</t>
        </is>
      </c>
      <c r="G172" t="inlineStr">
        <is>
          <t>LEKEBERG</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3643-2023</t>
        </is>
      </c>
      <c r="B173" t="inlineStr">
        <is>
          <t>avverkningsanmälan</t>
        </is>
      </c>
      <c r="C173" t="inlineStr">
        <is>
          <t>Föryngringsavverkning</t>
        </is>
      </c>
      <c r="D173" s="1" t="n">
        <v>44950</v>
      </c>
      <c r="E173" s="1" t="n">
        <v>46319</v>
      </c>
      <c r="F173" t="inlineStr">
        <is>
          <t>ÖREBRO LÄN</t>
        </is>
      </c>
      <c r="G173" t="inlineStr">
        <is>
          <t>LEKEBERG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22473-2026</t>
        </is>
      </c>
      <c r="B174" t="inlineStr">
        <is>
          <t>avverkningsanmälan</t>
        </is>
      </c>
      <c r="C174" t="inlineStr">
        <is>
          <t>Föryngringsavverkning</t>
        </is>
      </c>
      <c r="D174" s="1" t="n">
        <v>46155</v>
      </c>
      <c r="E174" s="1" t="n">
        <v>46319</v>
      </c>
      <c r="F174" t="inlineStr">
        <is>
          <t>ÖREBRO LÄN</t>
        </is>
      </c>
      <c r="G174" t="inlineStr">
        <is>
          <t>LEKEBERG</t>
        </is>
      </c>
      <c r="H174" t="inlineStr">
        <is>
          <t>Sveaskog</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19178-2025</t>
        </is>
      </c>
      <c r="B175" t="inlineStr">
        <is>
          <t>avverkningsanmälan</t>
        </is>
      </c>
      <c r="C175" t="inlineStr">
        <is>
          <t>Föryngringsavverkning</t>
        </is>
      </c>
      <c r="D175" s="1" t="n">
        <v>45769</v>
      </c>
      <c r="E175" s="1" t="n">
        <v>46319</v>
      </c>
      <c r="F175" t="inlineStr">
        <is>
          <t>ÖREBRO LÄN</t>
        </is>
      </c>
      <c r="G175" t="inlineStr">
        <is>
          <t>LEKEBERG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54959-2023</t>
        </is>
      </c>
      <c r="B176" t="inlineStr">
        <is>
          <t>avverkningsanmälan</t>
        </is>
      </c>
      <c r="C176" t="inlineStr">
        <is>
          <t>Föryngringsavverkning</t>
        </is>
      </c>
      <c r="D176" s="1" t="n">
        <v>45236</v>
      </c>
      <c r="E176" s="1" t="n">
        <v>46319</v>
      </c>
      <c r="F176" t="inlineStr">
        <is>
          <t>ÖREBRO LÄN</t>
        </is>
      </c>
      <c r="G176" t="inlineStr">
        <is>
          <t>LEKEBERG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12961-2023</t>
        </is>
      </c>
      <c r="B177" t="inlineStr">
        <is>
          <t>avverkningsanmälan</t>
        </is>
      </c>
      <c r="C177" t="inlineStr">
        <is>
          <t>Föryngringsavverkning</t>
        </is>
      </c>
      <c r="D177" s="1" t="n">
        <v>45001</v>
      </c>
      <c r="E177" s="1" t="n">
        <v>46319</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31113-2023</t>
        </is>
      </c>
      <c r="B178" t="inlineStr">
        <is>
          <t>avverkningsanmälan</t>
        </is>
      </c>
      <c r="C178" t="inlineStr">
        <is>
          <t>Föryngringsavverkning</t>
        </is>
      </c>
      <c r="D178" s="1" t="n">
        <v>45113</v>
      </c>
      <c r="E178" s="1" t="n">
        <v>46319</v>
      </c>
      <c r="F178" t="inlineStr">
        <is>
          <t>ÖREBRO LÄN</t>
        </is>
      </c>
      <c r="G178" t="inlineStr">
        <is>
          <t>LEKEBERG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11383-2023</t>
        </is>
      </c>
      <c r="B179" t="inlineStr">
        <is>
          <t>avverkningsanmälan</t>
        </is>
      </c>
      <c r="C179" t="inlineStr">
        <is>
          <t>Föryngringsavverkning</t>
        </is>
      </c>
      <c r="D179" s="1" t="n">
        <v>44993</v>
      </c>
      <c r="E179" s="1" t="n">
        <v>46319</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61492-2022</t>
        </is>
      </c>
      <c r="B180" t="inlineStr">
        <is>
          <t>avverkningsanmälan</t>
        </is>
      </c>
      <c r="C180" t="inlineStr">
        <is>
          <t>Föryngringsavverkning</t>
        </is>
      </c>
      <c r="D180" s="1" t="n">
        <v>44916</v>
      </c>
      <c r="E180" s="1" t="n">
        <v>46319</v>
      </c>
      <c r="F180" t="inlineStr">
        <is>
          <t>ÖREBRO LÄN</t>
        </is>
      </c>
      <c r="G180" t="inlineStr">
        <is>
          <t>LEKEBERG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39871-2024</t>
        </is>
      </c>
      <c r="B181" t="inlineStr">
        <is>
          <t>avverkningsanmälan</t>
        </is>
      </c>
      <c r="C181" t="inlineStr">
        <is>
          <t>Föryngringsavverkning</t>
        </is>
      </c>
      <c r="D181" s="1" t="n">
        <v>45553</v>
      </c>
      <c r="E181" s="1" t="n">
        <v>46319</v>
      </c>
      <c r="F181" t="inlineStr">
        <is>
          <t>ÖREBRO LÄN</t>
        </is>
      </c>
      <c r="G181" t="inlineStr">
        <is>
          <t>LEKEBERG</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47906-2023</t>
        </is>
      </c>
      <c r="B182" t="inlineStr">
        <is>
          <t>avverkningsanmälan</t>
        </is>
      </c>
      <c r="C182" t="inlineStr">
        <is>
          <t>Avverkning för annat ändamål</t>
        </is>
      </c>
      <c r="D182" s="1" t="n">
        <v>45204</v>
      </c>
      <c r="E182" s="1" t="n">
        <v>46319</v>
      </c>
      <c r="F182" t="inlineStr">
        <is>
          <t>ÖREBRO LÄN</t>
        </is>
      </c>
      <c r="G182" t="inlineStr">
        <is>
          <t>LEKEBERG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38922-2023</t>
        </is>
      </c>
      <c r="B183" t="inlineStr">
        <is>
          <t>avverkningsanmälan</t>
        </is>
      </c>
      <c r="C183" t="inlineStr">
        <is>
          <t>Föryngringsavverkning</t>
        </is>
      </c>
      <c r="D183" s="1" t="n">
        <v>45163</v>
      </c>
      <c r="E183" s="1" t="n">
        <v>46319</v>
      </c>
      <c r="F183" t="inlineStr">
        <is>
          <t>ÖREBRO LÄN</t>
        </is>
      </c>
      <c r="G183" t="inlineStr">
        <is>
          <t>LEKEBERG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34885-2022</t>
        </is>
      </c>
      <c r="B184" t="inlineStr">
        <is>
          <t>avverkningsanmälan</t>
        </is>
      </c>
      <c r="C184" t="inlineStr">
        <is>
          <t>Föryngringsavverkning</t>
        </is>
      </c>
      <c r="D184" s="1" t="n">
        <v>44796</v>
      </c>
      <c r="E184" s="1" t="n">
        <v>46319</v>
      </c>
      <c r="F184" t="inlineStr">
        <is>
          <t>ÖREBRO LÄN</t>
        </is>
      </c>
      <c r="G184" t="inlineStr">
        <is>
          <t>LEKEBERG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24913-2023</t>
        </is>
      </c>
      <c r="B185" t="inlineStr">
        <is>
          <t>avverkningsanmälan</t>
        </is>
      </c>
      <c r="C185" t="inlineStr">
        <is>
          <t>Föryngringsavverkning</t>
        </is>
      </c>
      <c r="D185" s="1" t="n">
        <v>45085</v>
      </c>
      <c r="E185" s="1" t="n">
        <v>46319</v>
      </c>
      <c r="F185" t="inlineStr">
        <is>
          <t>ÖREBRO LÄN</t>
        </is>
      </c>
      <c r="G185" t="inlineStr">
        <is>
          <t>LEKEBERG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40696-2022</t>
        </is>
      </c>
      <c r="B186" t="inlineStr">
        <is>
          <t>avverkningsanmälan</t>
        </is>
      </c>
      <c r="C186" t="inlineStr">
        <is>
          <t>Föryngringsavverkning</t>
        </is>
      </c>
      <c r="D186" s="1" t="n">
        <v>44824</v>
      </c>
      <c r="E186" s="1" t="n">
        <v>46319</v>
      </c>
      <c r="F186" t="inlineStr">
        <is>
          <t>ÖREBRO LÄN</t>
        </is>
      </c>
      <c r="G186" t="inlineStr">
        <is>
          <t>LEKEBERG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28579-2022</t>
        </is>
      </c>
      <c r="B187" t="inlineStr">
        <is>
          <t>avverkningsanmälan</t>
        </is>
      </c>
      <c r="C187" t="inlineStr">
        <is>
          <t>Föryngringsavverkning</t>
        </is>
      </c>
      <c r="D187" s="1" t="n">
        <v>44748</v>
      </c>
      <c r="E187" s="1" t="n">
        <v>46319</v>
      </c>
      <c r="F187" t="inlineStr">
        <is>
          <t>ÖREBRO LÄN</t>
        </is>
      </c>
      <c r="G187" t="inlineStr">
        <is>
          <t>LEKEBERG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33262-2023</t>
        </is>
      </c>
      <c r="B188" t="inlineStr">
        <is>
          <t>avverkningsanmälan</t>
        </is>
      </c>
      <c r="C188" t="inlineStr">
        <is>
          <t>Föryngringsavverkning</t>
        </is>
      </c>
      <c r="D188" s="1" t="n">
        <v>45127</v>
      </c>
      <c r="E188" s="1" t="n">
        <v>46319</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62841-2023</t>
        </is>
      </c>
      <c r="B189" t="inlineStr">
        <is>
          <t>avverkningsanmälan</t>
        </is>
      </c>
      <c r="C189" t="inlineStr">
        <is>
          <t>Föryngringsavverkning</t>
        </is>
      </c>
      <c r="D189" s="1" t="n">
        <v>45270</v>
      </c>
      <c r="E189" s="1" t="n">
        <v>46319</v>
      </c>
      <c r="F189" t="inlineStr">
        <is>
          <t>ÖREBRO LÄN</t>
        </is>
      </c>
      <c r="G189" t="inlineStr">
        <is>
          <t>LEKEBERG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37042-2024</t>
        </is>
      </c>
      <c r="B190" t="inlineStr">
        <is>
          <t>avverkningsanmälan</t>
        </is>
      </c>
      <c r="C190" t="inlineStr">
        <is>
          <t>Föryngringsavverkning</t>
        </is>
      </c>
      <c r="D190" s="1" t="n">
        <v>45539</v>
      </c>
      <c r="E190" s="1" t="n">
        <v>46319</v>
      </c>
      <c r="F190" t="inlineStr">
        <is>
          <t>ÖREBRO LÄN</t>
        </is>
      </c>
      <c r="G190" t="inlineStr">
        <is>
          <t>LEKEBERG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39867-2024</t>
        </is>
      </c>
      <c r="B191" t="inlineStr">
        <is>
          <t>avverkningsanmälan</t>
        </is>
      </c>
      <c r="C191" t="inlineStr">
        <is>
          <t>Föryngringsavverkning</t>
        </is>
      </c>
      <c r="D191" s="1" t="n">
        <v>45553</v>
      </c>
      <c r="E191" s="1" t="n">
        <v>46319</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14176-2025</t>
        </is>
      </c>
      <c r="B192" t="inlineStr">
        <is>
          <t>avverkningsanmälan</t>
        </is>
      </c>
      <c r="C192" t="inlineStr">
        <is>
          <t>Föryngringsavverkning</t>
        </is>
      </c>
      <c r="D192" s="1" t="n">
        <v>45740</v>
      </c>
      <c r="E192" s="1" t="n">
        <v>46319</v>
      </c>
      <c r="F192" t="inlineStr">
        <is>
          <t>ÖREBRO LÄN</t>
        </is>
      </c>
      <c r="G192" t="inlineStr">
        <is>
          <t>LEKEBERG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33336-2023</t>
        </is>
      </c>
      <c r="B193" t="inlineStr">
        <is>
          <t>avverkningsanmälan</t>
        </is>
      </c>
      <c r="C193" t="inlineStr">
        <is>
          <t>Föryngringsavverkning</t>
        </is>
      </c>
      <c r="D193" s="1" t="n">
        <v>45128</v>
      </c>
      <c r="E193" s="1" t="n">
        <v>46319</v>
      </c>
      <c r="F193" t="inlineStr">
        <is>
          <t>ÖREBRO LÄN</t>
        </is>
      </c>
      <c r="G193" t="inlineStr">
        <is>
          <t>LEKEBERG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33337-2023</t>
        </is>
      </c>
      <c r="B194" t="inlineStr">
        <is>
          <t>avverkningsanmälan</t>
        </is>
      </c>
      <c r="C194" t="inlineStr">
        <is>
          <t>Föryngringsavverkning</t>
        </is>
      </c>
      <c r="D194" s="1" t="n">
        <v>45128</v>
      </c>
      <c r="E194" s="1" t="n">
        <v>46319</v>
      </c>
      <c r="F194" t="inlineStr">
        <is>
          <t>ÖREBRO LÄN</t>
        </is>
      </c>
      <c r="G194" t="inlineStr">
        <is>
          <t>LEKEBERG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27947-2023</t>
        </is>
      </c>
      <c r="B195" t="inlineStr">
        <is>
          <t>avverkningsanmälan</t>
        </is>
      </c>
      <c r="C195" t="inlineStr">
        <is>
          <t>Föryngringsavverkning</t>
        </is>
      </c>
      <c r="D195" s="1" t="n">
        <v>45098</v>
      </c>
      <c r="E195" s="1" t="n">
        <v>46319</v>
      </c>
      <c r="F195" t="inlineStr">
        <is>
          <t>ÖREBRO LÄN</t>
        </is>
      </c>
      <c r="G195" t="inlineStr">
        <is>
          <t>LEKEBERG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36516-2023</t>
        </is>
      </c>
      <c r="B196" t="inlineStr">
        <is>
          <t>avverkningsanmälan</t>
        </is>
      </c>
      <c r="C196" t="inlineStr">
        <is>
          <t>Föryngringsavverkning</t>
        </is>
      </c>
      <c r="D196" s="1" t="n">
        <v>45153</v>
      </c>
      <c r="E196" s="1" t="n">
        <v>46319</v>
      </c>
      <c r="F196" t="inlineStr">
        <is>
          <t>ÖREBRO LÄN</t>
        </is>
      </c>
      <c r="G196" t="inlineStr">
        <is>
          <t>LEKEBERG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4470-2022</t>
        </is>
      </c>
      <c r="B197" t="inlineStr">
        <is>
          <t>avverkningsanmälan</t>
        </is>
      </c>
      <c r="C197" t="inlineStr">
        <is>
          <t>Föryngringsavverkning</t>
        </is>
      </c>
      <c r="D197" s="1" t="n">
        <v>44589</v>
      </c>
      <c r="E197" s="1" t="n">
        <v>46319</v>
      </c>
      <c r="F197" t="inlineStr">
        <is>
          <t>ÖREBRO LÄN</t>
        </is>
      </c>
      <c r="G197" t="inlineStr">
        <is>
          <t>LEKEBERG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38955-2023</t>
        </is>
      </c>
      <c r="B198" t="inlineStr">
        <is>
          <t>avverkningsanmälan</t>
        </is>
      </c>
      <c r="C198" t="inlineStr">
        <is>
          <t>Föryngringsavverkning</t>
        </is>
      </c>
      <c r="D198" s="1" t="n">
        <v>45163</v>
      </c>
      <c r="E198" s="1" t="n">
        <v>46319</v>
      </c>
      <c r="F198" t="inlineStr">
        <is>
          <t>ÖREBRO LÄN</t>
        </is>
      </c>
      <c r="G198" t="inlineStr">
        <is>
          <t>LEKEBERG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7202-2023</t>
        </is>
      </c>
      <c r="B199" t="inlineStr">
        <is>
          <t>avverkningsanmälan</t>
        </is>
      </c>
      <c r="C199" t="inlineStr">
        <is>
          <t>Föryngringsavverkning</t>
        </is>
      </c>
      <c r="D199" s="1" t="n">
        <v>44965</v>
      </c>
      <c r="E199" s="1" t="n">
        <v>46319</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6843-2024</t>
        </is>
      </c>
      <c r="B200" t="inlineStr">
        <is>
          <t>avverkningsanmälan</t>
        </is>
      </c>
      <c r="C200" t="inlineStr">
        <is>
          <t>Föryngringsavverkning</t>
        </is>
      </c>
      <c r="D200" s="1" t="n">
        <v>45342</v>
      </c>
      <c r="E200" s="1" t="n">
        <v>46319</v>
      </c>
      <c r="F200" t="inlineStr">
        <is>
          <t>ÖREBRO LÄN</t>
        </is>
      </c>
      <c r="G200" t="inlineStr">
        <is>
          <t>LEKEBERG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19044-2023</t>
        </is>
      </c>
      <c r="B201" t="inlineStr">
        <is>
          <t>avverkningsanmälan</t>
        </is>
      </c>
      <c r="C201" t="inlineStr">
        <is>
          <t>Föryngringsavverkning</t>
        </is>
      </c>
      <c r="D201" s="1" t="n">
        <v>45047</v>
      </c>
      <c r="E201" s="1" t="n">
        <v>46319</v>
      </c>
      <c r="F201" t="inlineStr">
        <is>
          <t>ÖREBRO LÄN</t>
        </is>
      </c>
      <c r="G201" t="inlineStr">
        <is>
          <t>LEKEBERG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10787-2023</t>
        </is>
      </c>
      <c r="B202" t="inlineStr">
        <is>
          <t>avverkningsanmälan</t>
        </is>
      </c>
      <c r="C202" t="inlineStr">
        <is>
          <t>Avverkning för annat ändamål</t>
        </is>
      </c>
      <c r="D202" s="1" t="n">
        <v>44989</v>
      </c>
      <c r="E202" s="1" t="n">
        <v>46319</v>
      </c>
      <c r="F202" t="inlineStr">
        <is>
          <t>ÖREBRO LÄN</t>
        </is>
      </c>
      <c r="G202" t="inlineStr">
        <is>
          <t>LEKEBERG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10791-2023</t>
        </is>
      </c>
      <c r="B203" t="inlineStr">
        <is>
          <t>avverkningsanmälan</t>
        </is>
      </c>
      <c r="C203" t="inlineStr">
        <is>
          <t>Avverkning för annat ändamål</t>
        </is>
      </c>
      <c r="D203" s="1" t="n">
        <v>44989</v>
      </c>
      <c r="E203" s="1" t="n">
        <v>46319</v>
      </c>
      <c r="F203" t="inlineStr">
        <is>
          <t>ÖREBRO LÄN</t>
        </is>
      </c>
      <c r="G203" t="inlineStr">
        <is>
          <t>LEKEBERG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47902-2023</t>
        </is>
      </c>
      <c r="B204" t="inlineStr">
        <is>
          <t>avverkningsanmälan</t>
        </is>
      </c>
      <c r="C204" t="inlineStr">
        <is>
          <t>Föryngringsavverkning</t>
        </is>
      </c>
      <c r="D204" s="1" t="n">
        <v>45204</v>
      </c>
      <c r="E204" s="1" t="n">
        <v>46319</v>
      </c>
      <c r="F204" t="inlineStr">
        <is>
          <t>ÖREBRO LÄN</t>
        </is>
      </c>
      <c r="G204" t="inlineStr">
        <is>
          <t>LEKEBERG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36444-2022</t>
        </is>
      </c>
      <c r="B205" t="inlineStr">
        <is>
          <t>avverkningsanmälan</t>
        </is>
      </c>
      <c r="C205" t="inlineStr">
        <is>
          <t>Föryngringsavverkning</t>
        </is>
      </c>
      <c r="D205" s="1" t="n">
        <v>44804</v>
      </c>
      <c r="E205" s="1" t="n">
        <v>46319</v>
      </c>
      <c r="F205" t="inlineStr">
        <is>
          <t>ÖREBRO LÄN</t>
        </is>
      </c>
      <c r="G205" t="inlineStr">
        <is>
          <t>LEKEBERG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22137-2022</t>
        </is>
      </c>
      <c r="B206" t="inlineStr">
        <is>
          <t>avverkningsanmälan</t>
        </is>
      </c>
      <c r="C206" t="inlineStr">
        <is>
          <t>Föryngringsavverkning</t>
        </is>
      </c>
      <c r="D206" s="1" t="n">
        <v>44712</v>
      </c>
      <c r="E206" s="1" t="n">
        <v>46319</v>
      </c>
      <c r="F206" t="inlineStr">
        <is>
          <t>ÖREBRO LÄN</t>
        </is>
      </c>
      <c r="G206" t="inlineStr">
        <is>
          <t>LEKEBERG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26763-2023</t>
        </is>
      </c>
      <c r="B207" t="inlineStr">
        <is>
          <t>avverkningsanmälan</t>
        </is>
      </c>
      <c r="C207" t="inlineStr">
        <is>
          <t>Föryngringsavverkning</t>
        </is>
      </c>
      <c r="D207" s="1" t="n">
        <v>45093</v>
      </c>
      <c r="E207" s="1" t="n">
        <v>46319</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10617-2022</t>
        </is>
      </c>
      <c r="B208" t="inlineStr">
        <is>
          <t>avverkningsanmälan</t>
        </is>
      </c>
      <c r="C208" t="inlineStr">
        <is>
          <t>Föryngringsavverkning</t>
        </is>
      </c>
      <c r="D208" s="1" t="n">
        <v>44624</v>
      </c>
      <c r="E208" s="1" t="n">
        <v>46319</v>
      </c>
      <c r="F208" t="inlineStr">
        <is>
          <t>ÖREBRO LÄN</t>
        </is>
      </c>
      <c r="G208" t="inlineStr">
        <is>
          <t>LEKEBERG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22198-2023</t>
        </is>
      </c>
      <c r="B209" t="inlineStr">
        <is>
          <t>avverkningsanmälan</t>
        </is>
      </c>
      <c r="C209" t="inlineStr">
        <is>
          <t>Föryngringsavverkning</t>
        </is>
      </c>
      <c r="D209" s="1" t="n">
        <v>45069</v>
      </c>
      <c r="E209" s="1" t="n">
        <v>46319</v>
      </c>
      <c r="F209" t="inlineStr">
        <is>
          <t>ÖREBRO LÄN</t>
        </is>
      </c>
      <c r="G209" t="inlineStr">
        <is>
          <t>LEKEBERG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46877-2022</t>
        </is>
      </c>
      <c r="B210" t="inlineStr">
        <is>
          <t>avverkningsanmälan</t>
        </is>
      </c>
      <c r="C210" t="inlineStr">
        <is>
          <t>Föryngringsavverkning</t>
        </is>
      </c>
      <c r="D210" s="1" t="n">
        <v>44848</v>
      </c>
      <c r="E210" s="1" t="n">
        <v>46319</v>
      </c>
      <c r="F210" t="inlineStr">
        <is>
          <t>ÖREBRO LÄN</t>
        </is>
      </c>
      <c r="G210" t="inlineStr">
        <is>
          <t>LEKEBERG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16914-2022</t>
        </is>
      </c>
      <c r="B211" t="inlineStr">
        <is>
          <t>avverkningsanmälan</t>
        </is>
      </c>
      <c r="C211" t="inlineStr">
        <is>
          <t>Föryngringsavverkning</t>
        </is>
      </c>
      <c r="D211" s="1" t="n">
        <v>44676</v>
      </c>
      <c r="E211" s="1" t="n">
        <v>46319</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18274-2024</t>
        </is>
      </c>
      <c r="B212" t="inlineStr">
        <is>
          <t>avverkningsanmälan</t>
        </is>
      </c>
      <c r="C212" t="inlineStr">
        <is>
          <t>Föryngringsavverkning</t>
        </is>
      </c>
      <c r="D212" s="1" t="n">
        <v>45421</v>
      </c>
      <c r="E212" s="1" t="n">
        <v>46319</v>
      </c>
      <c r="F212" t="inlineStr">
        <is>
          <t>ÖREBRO LÄN</t>
        </is>
      </c>
      <c r="G212" t="inlineStr">
        <is>
          <t>LEKEBERG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20800-2024</t>
        </is>
      </c>
      <c r="B213" t="inlineStr">
        <is>
          <t>avverkningsanmälan</t>
        </is>
      </c>
      <c r="C213" t="inlineStr">
        <is>
          <t>Föryngringsavverkning</t>
        </is>
      </c>
      <c r="D213" s="1" t="n">
        <v>45438</v>
      </c>
      <c r="E213" s="1" t="n">
        <v>46319</v>
      </c>
      <c r="F213" t="inlineStr">
        <is>
          <t>ÖREBRO LÄN</t>
        </is>
      </c>
      <c r="G213" t="inlineStr">
        <is>
          <t>LEKEBERG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12516-2025</t>
        </is>
      </c>
      <c r="B214" t="inlineStr">
        <is>
          <t>avverkningsanmälan</t>
        </is>
      </c>
      <c r="C214" t="inlineStr">
        <is>
          <t>Föryngringsavverkning</t>
        </is>
      </c>
      <c r="D214" s="1" t="n">
        <v>45730</v>
      </c>
      <c r="E214" s="1" t="n">
        <v>46319</v>
      </c>
      <c r="F214" t="inlineStr">
        <is>
          <t>ÖREBRO LÄN</t>
        </is>
      </c>
      <c r="G214" t="inlineStr">
        <is>
          <t>LEKEBERG</t>
        </is>
      </c>
      <c r="H214" t="inlineStr">
        <is>
          <t>Allmännings- och besparingsskogar</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30754-2022</t>
        </is>
      </c>
      <c r="B215" t="inlineStr">
        <is>
          <t>avverkningsanmälan</t>
        </is>
      </c>
      <c r="C215" t="inlineStr">
        <is>
          <t>Föryngringsavverkning</t>
        </is>
      </c>
      <c r="D215" s="1" t="n">
        <v>44764</v>
      </c>
      <c r="E215" s="1" t="n">
        <v>46319</v>
      </c>
      <c r="F215" t="inlineStr">
        <is>
          <t>ÖREBRO LÄN</t>
        </is>
      </c>
      <c r="G215" t="inlineStr">
        <is>
          <t>LEKEBERG</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6101-2024</t>
        </is>
      </c>
      <c r="B216" t="inlineStr">
        <is>
          <t>avverkningsanmälan</t>
        </is>
      </c>
      <c r="C216" t="inlineStr">
        <is>
          <t>Föryngringsavverkning</t>
        </is>
      </c>
      <c r="D216" s="1" t="n">
        <v>45337</v>
      </c>
      <c r="E216" s="1" t="n">
        <v>46319</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18272-2024</t>
        </is>
      </c>
      <c r="B217" t="inlineStr">
        <is>
          <t>avverkningsanmälan</t>
        </is>
      </c>
      <c r="C217" t="inlineStr">
        <is>
          <t>Föryngringsavverkning</t>
        </is>
      </c>
      <c r="D217" s="1" t="n">
        <v>45421</v>
      </c>
      <c r="E217" s="1" t="n">
        <v>46319</v>
      </c>
      <c r="F217" t="inlineStr">
        <is>
          <t>ÖREBRO LÄN</t>
        </is>
      </c>
      <c r="G217" t="inlineStr">
        <is>
          <t>LEKEBERG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37450-2024</t>
        </is>
      </c>
      <c r="B218" t="inlineStr">
        <is>
          <t>avverkningsanmälan</t>
        </is>
      </c>
      <c r="C218" t="inlineStr">
        <is>
          <t>Föryngringsavverkning</t>
        </is>
      </c>
      <c r="D218" s="1" t="n">
        <v>45540</v>
      </c>
      <c r="E218" s="1" t="n">
        <v>46319</v>
      </c>
      <c r="F218" t="inlineStr">
        <is>
          <t>ÖREBRO LÄN</t>
        </is>
      </c>
      <c r="G218" t="inlineStr">
        <is>
          <t>LEKEBERG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33907-2024</t>
        </is>
      </c>
      <c r="B219" t="inlineStr">
        <is>
          <t>avverkningsanmälan</t>
        </is>
      </c>
      <c r="C219" t="inlineStr">
        <is>
          <t>Föryngringsavverkning</t>
        </is>
      </c>
      <c r="D219" s="1" t="n">
        <v>45523</v>
      </c>
      <c r="E219" s="1" t="n">
        <v>46319</v>
      </c>
      <c r="F219" t="inlineStr">
        <is>
          <t>ÖREBRO LÄN</t>
        </is>
      </c>
      <c r="G219" t="inlineStr">
        <is>
          <t>LEKEBERG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33910-2024</t>
        </is>
      </c>
      <c r="B220" t="inlineStr">
        <is>
          <t>avverkningsanmälan</t>
        </is>
      </c>
      <c r="C220" t="inlineStr">
        <is>
          <t>Föryngringsavverkning</t>
        </is>
      </c>
      <c r="D220" s="1" t="n">
        <v>45523</v>
      </c>
      <c r="E220" s="1" t="n">
        <v>46319</v>
      </c>
      <c r="F220" t="inlineStr">
        <is>
          <t>ÖREBRO LÄN</t>
        </is>
      </c>
      <c r="G220" t="inlineStr">
        <is>
          <t>LEKEBERG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5373-2024</t>
        </is>
      </c>
      <c r="B221" t="inlineStr">
        <is>
          <t>avverkningsanmälan</t>
        </is>
      </c>
      <c r="C221" t="inlineStr">
        <is>
          <t>Föryngringsavverkning</t>
        </is>
      </c>
      <c r="D221" s="1" t="n">
        <v>45331</v>
      </c>
      <c r="E221" s="1" t="n">
        <v>46319</v>
      </c>
      <c r="F221" t="inlineStr">
        <is>
          <t>ÖREBRO LÄN</t>
        </is>
      </c>
      <c r="G221" t="inlineStr">
        <is>
          <t>LEKEBERG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12140-2023</t>
        </is>
      </c>
      <c r="B222" t="inlineStr">
        <is>
          <t>avverkningsanmälan</t>
        </is>
      </c>
      <c r="C222" t="inlineStr">
        <is>
          <t>Föryngringsavverkning</t>
        </is>
      </c>
      <c r="D222" s="1" t="n">
        <v>44998</v>
      </c>
      <c r="E222" s="1" t="n">
        <v>46319</v>
      </c>
      <c r="F222" t="inlineStr">
        <is>
          <t>ÖREBRO LÄN</t>
        </is>
      </c>
      <c r="G222" t="inlineStr">
        <is>
          <t>LEKEBERG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3602-2023</t>
        </is>
      </c>
      <c r="B223" t="inlineStr">
        <is>
          <t>avverkningsanmälan</t>
        </is>
      </c>
      <c r="C223" t="inlineStr">
        <is>
          <t>Föryngringsavverkning</t>
        </is>
      </c>
      <c r="D223" s="1" t="n">
        <v>44950</v>
      </c>
      <c r="E223" s="1" t="n">
        <v>46319</v>
      </c>
      <c r="F223" t="inlineStr">
        <is>
          <t>ÖREBRO LÄN</t>
        </is>
      </c>
      <c r="G223" t="inlineStr">
        <is>
          <t>LEKEBERG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11289-2023</t>
        </is>
      </c>
      <c r="B224" t="inlineStr">
        <is>
          <t>avverkningsanmälan</t>
        </is>
      </c>
      <c r="C224" t="inlineStr">
        <is>
          <t>Föryngringsavverkning</t>
        </is>
      </c>
      <c r="D224" s="1" t="n">
        <v>44992</v>
      </c>
      <c r="E224" s="1" t="n">
        <v>46319</v>
      </c>
      <c r="F224" t="inlineStr">
        <is>
          <t>ÖREBRO LÄN</t>
        </is>
      </c>
      <c r="G224" t="inlineStr">
        <is>
          <t>LEKEBERG</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46319</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46319</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46319</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46319</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46319</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46319</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46319</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46319</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2026-10-24T02:02:25Z</dcterms:created>
  <dcterms:modified xmlns:dcterms="http://purl.org/dc/terms/" xmlns:xsi="http://www.w3.org/2001/XMLSchema-instance" xsi:type="dcterms:W3CDTF">2026-10-24T02:02:25Z</dcterms:modified>
</cp:coreProperties>
</file>