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46116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46116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46116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46116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46116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46116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46116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46116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42748-2024</t>
        </is>
      </c>
      <c r="B10" s="1" t="n">
        <v>45566</v>
      </c>
      <c r="C10" s="1" t="n">
        <v>46116</v>
      </c>
      <c r="D10" t="inlineStr">
        <is>
          <t>ÖREBRO LÄN</t>
        </is>
      </c>
      <c r="E10" t="inlineStr">
        <is>
          <t>LEKEBERG</t>
        </is>
      </c>
      <c r="G10" t="n">
        <v>9.699999999999999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Granriska
Rostfläck</t>
        </is>
      </c>
      <c r="S10">
        <f>HYPERLINK("https://klasma.github.io/Logging_1814/artfynd/A 42748-2024 artfynd.xlsx", "A 42748-2024")</f>
        <v/>
      </c>
      <c r="T10">
        <f>HYPERLINK("https://klasma.github.io/Logging_1814/kartor/A 42748-2024 karta.png", "A 42748-2024")</f>
        <v/>
      </c>
      <c r="U10">
        <f>HYPERLINK("https://klasma.github.io/Logging_1814/knärot/A 42748-2024 karta knärot.png", "A 42748-2024")</f>
        <v/>
      </c>
      <c r="V10">
        <f>HYPERLINK("https://klasma.github.io/Logging_1814/klagomål/A 42748-2024 FSC-klagomål.docx", "A 42748-2024")</f>
        <v/>
      </c>
      <c r="W10">
        <f>HYPERLINK("https://klasma.github.io/Logging_1814/klagomålsmail/A 42748-2024 FSC-klagomål mail.docx", "A 42748-2024")</f>
        <v/>
      </c>
      <c r="X10">
        <f>HYPERLINK("https://klasma.github.io/Logging_1814/tillsyn/A 42748-2024 tillsynsbegäran.docx", "A 42748-2024")</f>
        <v/>
      </c>
      <c r="Y10">
        <f>HYPERLINK("https://klasma.github.io/Logging_1814/tillsynsmail/A 42748-2024 tillsynsbegäran mail.docx", "A 42748-2024")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46116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46116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46116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46116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46116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46116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46116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46116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46116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46116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12550-2026</t>
        </is>
      </c>
      <c r="B21" s="1" t="n">
        <v>46090.63508101852</v>
      </c>
      <c r="C21" s="1" t="n">
        <v>46116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12550-2026 artfynd.xlsx", "A 12550-2026")</f>
        <v/>
      </c>
      <c r="T21">
        <f>HYPERLINK("https://klasma.github.io/Logging_1814/kartor/A 12550-2026 karta.png", "A 12550-2026")</f>
        <v/>
      </c>
      <c r="V21">
        <f>HYPERLINK("https://klasma.github.io/Logging_1814/klagomål/A 12550-2026 FSC-klagomål.docx", "A 12550-2026")</f>
        <v/>
      </c>
      <c r="W21">
        <f>HYPERLINK("https://klasma.github.io/Logging_1814/klagomålsmail/A 12550-2026 FSC-klagomål mail.docx", "A 12550-2026")</f>
        <v/>
      </c>
      <c r="X21">
        <f>HYPERLINK("https://klasma.github.io/Logging_1814/tillsyn/A 12550-2026 tillsynsbegäran.docx", "A 12550-2026")</f>
        <v/>
      </c>
      <c r="Y21">
        <f>HYPERLINK("https://klasma.github.io/Logging_1814/tillsynsmail/A 12550-2026 tillsynsbegäran mail.docx", "A 12550-2026")</f>
        <v/>
      </c>
    </row>
    <row r="22" ht="15" customHeight="1">
      <c r="A22" t="inlineStr">
        <is>
          <t>A 12557-2026</t>
        </is>
      </c>
      <c r="B22" s="1" t="n">
        <v>46090.64015046296</v>
      </c>
      <c r="C22" s="1" t="n">
        <v>46116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HYPERLINK("https://klasma.github.io/Logging_1814/artfynd/A 12557-2026 artfynd.xlsx", "A 12557-2026")</f>
        <v/>
      </c>
      <c r="T22">
        <f>HYPERLINK("https://klasma.github.io/Logging_1814/kartor/A 12557-2026 karta.png", "A 12557-2026")</f>
        <v/>
      </c>
      <c r="V22">
        <f>HYPERLINK("https://klasma.github.io/Logging_1814/klagomål/A 12557-2026 FSC-klagomål.docx", "A 12557-2026")</f>
        <v/>
      </c>
      <c r="W22">
        <f>HYPERLINK("https://klasma.github.io/Logging_1814/klagomålsmail/A 12557-2026 FSC-klagomål mail.docx", "A 12557-2026")</f>
        <v/>
      </c>
      <c r="X22">
        <f>HYPERLINK("https://klasma.github.io/Logging_1814/tillsyn/A 12557-2026 tillsynsbegäran.docx", "A 12557-2026")</f>
        <v/>
      </c>
      <c r="Y22">
        <f>HYPERLINK("https://klasma.github.io/Logging_1814/tillsynsmail/A 12557-2026 tillsynsbegäran mail.docx", "A 12557-2026")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46116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46116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46116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46116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46116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46116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46116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46116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46116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46116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46116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46116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46116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46116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46116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46116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46116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46116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46116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46116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46116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46116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46116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46116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46116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46116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46116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46116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46116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46116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46116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46116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46116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46116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46116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46116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46116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46116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46116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46116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56267-2021</t>
        </is>
      </c>
      <c r="B63" s="1" t="n">
        <v>44479.61296296296</v>
      </c>
      <c r="C63" s="1" t="n">
        <v>46116</v>
      </c>
      <c r="D63" t="inlineStr">
        <is>
          <t>ÖREBRO LÄN</t>
        </is>
      </c>
      <c r="E63" t="inlineStr">
        <is>
          <t>LEKEBERG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46116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34885-2022</t>
        </is>
      </c>
      <c r="B65" s="1" t="n">
        <v>44796.51725694445</v>
      </c>
      <c r="C65" s="1" t="n">
        <v>46116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37450-2024</t>
        </is>
      </c>
      <c r="B66" s="1" t="n">
        <v>45540.68736111111</v>
      </c>
      <c r="C66" s="1" t="n">
        <v>46116</v>
      </c>
      <c r="D66" t="inlineStr">
        <is>
          <t>ÖREBRO LÄN</t>
        </is>
      </c>
      <c r="E66" t="inlineStr">
        <is>
          <t>LEKEBERG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46116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53910-2023</t>
        </is>
      </c>
      <c r="B68" s="1" t="n">
        <v>45231.55751157407</v>
      </c>
      <c r="C68" s="1" t="n">
        <v>46116</v>
      </c>
      <c r="D68" t="inlineStr">
        <is>
          <t>ÖREBRO LÄN</t>
        </is>
      </c>
      <c r="E68" t="inlineStr">
        <is>
          <t>LEKEBERG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39871-2024</t>
        </is>
      </c>
      <c r="B69" s="1" t="n">
        <v>45553</v>
      </c>
      <c r="C69" s="1" t="n">
        <v>46116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18382-2023</t>
        </is>
      </c>
      <c r="B70" s="1" t="n">
        <v>45042.27751157407</v>
      </c>
      <c r="C70" s="1" t="n">
        <v>46116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12961-2023</t>
        </is>
      </c>
      <c r="B71" s="1" t="n">
        <v>45001.80307870371</v>
      </c>
      <c r="C71" s="1" t="n">
        <v>46116</v>
      </c>
      <c r="D71" t="inlineStr">
        <is>
          <t>ÖREBRO LÄN</t>
        </is>
      </c>
      <c r="E71" t="inlineStr">
        <is>
          <t>LEKEBERG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46116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33963-2023</t>
        </is>
      </c>
      <c r="B73" s="1" t="n">
        <v>45134.62525462963</v>
      </c>
      <c r="C73" s="1" t="n">
        <v>46116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18274-2024</t>
        </is>
      </c>
      <c r="B74" s="1" t="n">
        <v>45421.70460648148</v>
      </c>
      <c r="C74" s="1" t="n">
        <v>46116</v>
      </c>
      <c r="D74" t="inlineStr">
        <is>
          <t>ÖREBRO LÄN</t>
        </is>
      </c>
      <c r="E74" t="inlineStr">
        <is>
          <t>LEKEBERG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37598-2024</t>
        </is>
      </c>
      <c r="B75" s="1" t="n">
        <v>45541.47604166667</v>
      </c>
      <c r="C75" s="1" t="n">
        <v>46116</v>
      </c>
      <c r="D75" t="inlineStr">
        <is>
          <t>ÖREBRO LÄN</t>
        </is>
      </c>
      <c r="E75" t="inlineStr">
        <is>
          <t>LEKEBERG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46116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46398-2021</t>
        </is>
      </c>
      <c r="B77" s="1" t="n">
        <v>44443.77010416667</v>
      </c>
      <c r="C77" s="1" t="n">
        <v>46116</v>
      </c>
      <c r="D77" t="inlineStr">
        <is>
          <t>ÖREBRO LÄN</t>
        </is>
      </c>
      <c r="E77" t="inlineStr">
        <is>
          <t>LEKEBERG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46116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38922-2023</t>
        </is>
      </c>
      <c r="B79" s="1" t="n">
        <v>45163.57961805556</v>
      </c>
      <c r="C79" s="1" t="n">
        <v>46116</v>
      </c>
      <c r="D79" t="inlineStr">
        <is>
          <t>ÖREBRO LÄN</t>
        </is>
      </c>
      <c r="E79" t="inlineStr">
        <is>
          <t>LEKEBERG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46116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46116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44650-2024</t>
        </is>
      </c>
      <c r="B82" s="1" t="n">
        <v>45574</v>
      </c>
      <c r="C82" s="1" t="n">
        <v>46116</v>
      </c>
      <c r="D82" t="inlineStr">
        <is>
          <t>ÖREBRO LÄN</t>
        </is>
      </c>
      <c r="E82" t="inlineStr">
        <is>
          <t>LEKEBERG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37042-2024</t>
        </is>
      </c>
      <c r="B83" s="1" t="n">
        <v>45539</v>
      </c>
      <c r="C83" s="1" t="n">
        <v>46116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7202-2023</t>
        </is>
      </c>
      <c r="B84" s="1" t="n">
        <v>44965</v>
      </c>
      <c r="C84" s="1" t="n">
        <v>46116</v>
      </c>
      <c r="D84" t="inlineStr">
        <is>
          <t>ÖREBRO LÄN</t>
        </is>
      </c>
      <c r="E84" t="inlineStr">
        <is>
          <t>LEKEBERG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27638-2025</t>
        </is>
      </c>
      <c r="B85" s="1" t="n">
        <v>45813</v>
      </c>
      <c r="C85" s="1" t="n">
        <v>46116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12616-2025</t>
        </is>
      </c>
      <c r="B86" s="1" t="n">
        <v>45733</v>
      </c>
      <c r="C86" s="1" t="n">
        <v>46116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19044-2023</t>
        </is>
      </c>
      <c r="B87" s="1" t="n">
        <v>45047</v>
      </c>
      <c r="C87" s="1" t="n">
        <v>46116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19045-2023</t>
        </is>
      </c>
      <c r="B88" s="1" t="n">
        <v>45047</v>
      </c>
      <c r="C88" s="1" t="n">
        <v>46116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10273-2023</t>
        </is>
      </c>
      <c r="B89" s="1" t="n">
        <v>44986</v>
      </c>
      <c r="C89" s="1" t="n">
        <v>46116</v>
      </c>
      <c r="D89" t="inlineStr">
        <is>
          <t>ÖREBRO LÄN</t>
        </is>
      </c>
      <c r="E89" t="inlineStr">
        <is>
          <t>LEKEBERG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19178-2025</t>
        </is>
      </c>
      <c r="B90" s="1" t="n">
        <v>45769</v>
      </c>
      <c r="C90" s="1" t="n">
        <v>46116</v>
      </c>
      <c r="D90" t="inlineStr">
        <is>
          <t>ÖREBRO LÄN</t>
        </is>
      </c>
      <c r="E90" t="inlineStr">
        <is>
          <t>LEKEBERG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26121-2023</t>
        </is>
      </c>
      <c r="B91" s="1" t="n">
        <v>45091.44384259259</v>
      </c>
      <c r="C91" s="1" t="n">
        <v>46116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6101-2024</t>
        </is>
      </c>
      <c r="B92" s="1" t="n">
        <v>45337</v>
      </c>
      <c r="C92" s="1" t="n">
        <v>46116</v>
      </c>
      <c r="D92" t="inlineStr">
        <is>
          <t>ÖREBRO LÄN</t>
        </is>
      </c>
      <c r="E92" t="inlineStr">
        <is>
          <t>LEKEBERG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5313-2024</t>
        </is>
      </c>
      <c r="B93" s="1" t="n">
        <v>45331.39503472222</v>
      </c>
      <c r="C93" s="1" t="n">
        <v>46116</v>
      </c>
      <c r="D93" t="inlineStr">
        <is>
          <t>ÖREBRO LÄN</t>
        </is>
      </c>
      <c r="E93" t="inlineStr">
        <is>
          <t>LEKEBERG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2039-2025</t>
        </is>
      </c>
      <c r="B94" s="1" t="n">
        <v>45672</v>
      </c>
      <c r="C94" s="1" t="n">
        <v>46116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37898-2025</t>
        </is>
      </c>
      <c r="B95" s="1" t="n">
        <v>45881.55846064815</v>
      </c>
      <c r="C95" s="1" t="n">
        <v>46116</v>
      </c>
      <c r="D95" t="inlineStr">
        <is>
          <t>ÖREBRO LÄN</t>
        </is>
      </c>
      <c r="E95" t="inlineStr">
        <is>
          <t>LEKEBERG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21886-2023</t>
        </is>
      </c>
      <c r="B96" s="1" t="n">
        <v>45068</v>
      </c>
      <c r="C96" s="1" t="n">
        <v>46116</v>
      </c>
      <c r="D96" t="inlineStr">
        <is>
          <t>ÖREBRO LÄN</t>
        </is>
      </c>
      <c r="E96" t="inlineStr">
        <is>
          <t>LEKEBERG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46116</v>
      </c>
      <c r="D97" t="inlineStr">
        <is>
          <t>ÖREBRO LÄN</t>
        </is>
      </c>
      <c r="E97" t="inlineStr">
        <is>
          <t>LEKEBERG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38297-2025</t>
        </is>
      </c>
      <c r="B98" s="1" t="n">
        <v>45883.45506944445</v>
      </c>
      <c r="C98" s="1" t="n">
        <v>46116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41692-2025</t>
        </is>
      </c>
      <c r="B99" s="1" t="n">
        <v>45902.4041087963</v>
      </c>
      <c r="C99" s="1" t="n">
        <v>46116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9769-2025</t>
        </is>
      </c>
      <c r="B100" s="1" t="n">
        <v>45716.48861111111</v>
      </c>
      <c r="C100" s="1" t="n">
        <v>46116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1599-2025</t>
        </is>
      </c>
      <c r="B101" s="1" t="n">
        <v>45670.58930555556</v>
      </c>
      <c r="C101" s="1" t="n">
        <v>46116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14169-2025</t>
        </is>
      </c>
      <c r="B102" s="1" t="n">
        <v>45740.51894675926</v>
      </c>
      <c r="C102" s="1" t="n">
        <v>46116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42197-2025</t>
        </is>
      </c>
      <c r="B103" s="1" t="n">
        <v>45904.48486111111</v>
      </c>
      <c r="C103" s="1" t="n">
        <v>46116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42295-2025</t>
        </is>
      </c>
      <c r="B104" s="1" t="n">
        <v>45904.63057870371</v>
      </c>
      <c r="C104" s="1" t="n">
        <v>46116</v>
      </c>
      <c r="D104" t="inlineStr">
        <is>
          <t>ÖREBRO LÄN</t>
        </is>
      </c>
      <c r="E104" t="inlineStr">
        <is>
          <t>LEKEBERG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44343-2022</t>
        </is>
      </c>
      <c r="B105" s="1" t="n">
        <v>44839.67604166667</v>
      </c>
      <c r="C105" s="1" t="n">
        <v>46116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11794-2023</t>
        </is>
      </c>
      <c r="B106" s="1" t="n">
        <v>44994</v>
      </c>
      <c r="C106" s="1" t="n">
        <v>46116</v>
      </c>
      <c r="D106" t="inlineStr">
        <is>
          <t>ÖREBRO LÄN</t>
        </is>
      </c>
      <c r="E106" t="inlineStr">
        <is>
          <t>LEKEBERG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11289-2025</t>
        </is>
      </c>
      <c r="B107" s="1" t="n">
        <v>45726.42762731481</v>
      </c>
      <c r="C107" s="1" t="n">
        <v>46116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46116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46116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46116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46116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46116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43621-2025</t>
        </is>
      </c>
      <c r="B113" s="1" t="n">
        <v>45911.681875</v>
      </c>
      <c r="C113" s="1" t="n">
        <v>46116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62841-2023</t>
        </is>
      </c>
      <c r="B114" s="1" t="n">
        <v>45270</v>
      </c>
      <c r="C114" s="1" t="n">
        <v>46116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58020-2021</t>
        </is>
      </c>
      <c r="B115" s="1" t="n">
        <v>44484</v>
      </c>
      <c r="C115" s="1" t="n">
        <v>46116</v>
      </c>
      <c r="D115" t="inlineStr">
        <is>
          <t>ÖREBRO LÄN</t>
        </is>
      </c>
      <c r="E115" t="inlineStr">
        <is>
          <t>LEKEBERG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51659-2021</t>
        </is>
      </c>
      <c r="B116" s="1" t="n">
        <v>44462</v>
      </c>
      <c r="C116" s="1" t="n">
        <v>46116</v>
      </c>
      <c r="D116" t="inlineStr">
        <is>
          <t>ÖREBRO LÄN</t>
        </is>
      </c>
      <c r="E116" t="inlineStr">
        <is>
          <t>LEKEBERG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41551-2024</t>
        </is>
      </c>
      <c r="B117" s="1" t="n">
        <v>45560</v>
      </c>
      <c r="C117" s="1" t="n">
        <v>46116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6843-2024</t>
        </is>
      </c>
      <c r="B118" s="1" t="n">
        <v>45342.62711805556</v>
      </c>
      <c r="C118" s="1" t="n">
        <v>46116</v>
      </c>
      <c r="D118" t="inlineStr">
        <is>
          <t>ÖREBRO LÄN</t>
        </is>
      </c>
      <c r="E118" t="inlineStr">
        <is>
          <t>LEKEBERG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46809-2025</t>
        </is>
      </c>
      <c r="B119" s="1" t="n">
        <v>45926.69324074074</v>
      </c>
      <c r="C119" s="1" t="n">
        <v>46116</v>
      </c>
      <c r="D119" t="inlineStr">
        <is>
          <t>ÖREBRO LÄN</t>
        </is>
      </c>
      <c r="E119" t="inlineStr">
        <is>
          <t>LEKEBERG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46810-2025</t>
        </is>
      </c>
      <c r="B120" s="1" t="n">
        <v>45926.69480324074</v>
      </c>
      <c r="C120" s="1" t="n">
        <v>46116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46116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46116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46116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46116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46116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46116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46116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10787-2023</t>
        </is>
      </c>
      <c r="B128" s="1" t="n">
        <v>44989</v>
      </c>
      <c r="C128" s="1" t="n">
        <v>46116</v>
      </c>
      <c r="D128" t="inlineStr">
        <is>
          <t>ÖREBRO LÄN</t>
        </is>
      </c>
      <c r="E128" t="inlineStr">
        <is>
          <t>LEKEBERG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10791-2023</t>
        </is>
      </c>
      <c r="B129" s="1" t="n">
        <v>44989</v>
      </c>
      <c r="C129" s="1" t="n">
        <v>46116</v>
      </c>
      <c r="D129" t="inlineStr">
        <is>
          <t>ÖREBRO LÄN</t>
        </is>
      </c>
      <c r="E129" t="inlineStr">
        <is>
          <t>LEKEBERG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10467-2025</t>
        </is>
      </c>
      <c r="B130" s="1" t="n">
        <v>45720.83359953704</v>
      </c>
      <c r="C130" s="1" t="n">
        <v>46116</v>
      </c>
      <c r="D130" t="inlineStr">
        <is>
          <t>ÖREBRO LÄN</t>
        </is>
      </c>
      <c r="E130" t="inlineStr">
        <is>
          <t>LEKEBERG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3602-2023</t>
        </is>
      </c>
      <c r="B131" s="1" t="n">
        <v>44950.58821759259</v>
      </c>
      <c r="C131" s="1" t="n">
        <v>46116</v>
      </c>
      <c r="D131" t="inlineStr">
        <is>
          <t>ÖREBRO LÄN</t>
        </is>
      </c>
      <c r="E131" t="inlineStr">
        <is>
          <t>LEKEBERG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12963-2023</t>
        </is>
      </c>
      <c r="B132" s="1" t="n">
        <v>45001</v>
      </c>
      <c r="C132" s="1" t="n">
        <v>46116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14734-2024</t>
        </is>
      </c>
      <c r="B133" s="1" t="n">
        <v>45397.5890625</v>
      </c>
      <c r="C133" s="1" t="n">
        <v>46116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53407-2025</t>
        </is>
      </c>
      <c r="B134" s="1" t="n">
        <v>45959.57350694444</v>
      </c>
      <c r="C134" s="1" t="n">
        <v>46116</v>
      </c>
      <c r="D134" t="inlineStr">
        <is>
          <t>ÖREBRO LÄN</t>
        </is>
      </c>
      <c r="E134" t="inlineStr">
        <is>
          <t>LEKEBERG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54770-2025</t>
        </is>
      </c>
      <c r="B135" s="1" t="n">
        <v>45966.60803240741</v>
      </c>
      <c r="C135" s="1" t="n">
        <v>46116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30754-2022</t>
        </is>
      </c>
      <c r="B136" s="1" t="n">
        <v>44764</v>
      </c>
      <c r="C136" s="1" t="n">
        <v>46116</v>
      </c>
      <c r="D136" t="inlineStr">
        <is>
          <t>ÖREBRO LÄN</t>
        </is>
      </c>
      <c r="E136" t="inlineStr">
        <is>
          <t>LEKEBERG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55033-2025</t>
        </is>
      </c>
      <c r="B137" s="1" t="n">
        <v>45967</v>
      </c>
      <c r="C137" s="1" t="n">
        <v>46116</v>
      </c>
      <c r="D137" t="inlineStr">
        <is>
          <t>ÖREBRO LÄN</t>
        </is>
      </c>
      <c r="E137" t="inlineStr">
        <is>
          <t>LEKEBERG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54804-2025</t>
        </is>
      </c>
      <c r="B138" s="1" t="n">
        <v>45966.64116898148</v>
      </c>
      <c r="C138" s="1" t="n">
        <v>46116</v>
      </c>
      <c r="D138" t="inlineStr">
        <is>
          <t>ÖREBRO LÄN</t>
        </is>
      </c>
      <c r="E138" t="inlineStr">
        <is>
          <t>LEKEBERG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61733-2024</t>
        </is>
      </c>
      <c r="B139" s="1" t="n">
        <v>45649.34486111111</v>
      </c>
      <c r="C139" s="1" t="n">
        <v>46116</v>
      </c>
      <c r="D139" t="inlineStr">
        <is>
          <t>ÖREBRO LÄN</t>
        </is>
      </c>
      <c r="E139" t="inlineStr">
        <is>
          <t>LEKEBERG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14353-2024</t>
        </is>
      </c>
      <c r="B140" s="1" t="n">
        <v>45393.83645833333</v>
      </c>
      <c r="C140" s="1" t="n">
        <v>46116</v>
      </c>
      <c r="D140" t="inlineStr">
        <is>
          <t>ÖREBRO LÄN</t>
        </is>
      </c>
      <c r="E140" t="inlineStr">
        <is>
          <t>LEKEBERG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45973.29060185186</v>
      </c>
      <c r="C141" s="1" t="n">
        <v>46116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5373-2024</t>
        </is>
      </c>
      <c r="B142" s="1" t="n">
        <v>45331</v>
      </c>
      <c r="C142" s="1" t="n">
        <v>46116</v>
      </c>
      <c r="D142" t="inlineStr">
        <is>
          <t>ÖREBRO LÄN</t>
        </is>
      </c>
      <c r="E142" t="inlineStr">
        <is>
          <t>LEKEBERG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46116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46116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46116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30747-2023</t>
        </is>
      </c>
      <c r="B146" s="1" t="n">
        <v>45112</v>
      </c>
      <c r="C146" s="1" t="n">
        <v>46116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14702-2023</t>
        </is>
      </c>
      <c r="B147" s="1" t="n">
        <v>45014</v>
      </c>
      <c r="C147" s="1" t="n">
        <v>46116</v>
      </c>
      <c r="D147" t="inlineStr">
        <is>
          <t>ÖREBRO LÄN</t>
        </is>
      </c>
      <c r="E147" t="inlineStr">
        <is>
          <t>LEKEBERG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61644-2023</t>
        </is>
      </c>
      <c r="B148" s="1" t="n">
        <v>45263</v>
      </c>
      <c r="C148" s="1" t="n">
        <v>46116</v>
      </c>
      <c r="D148" t="inlineStr">
        <is>
          <t>ÖREBRO LÄN</t>
        </is>
      </c>
      <c r="E148" t="inlineStr">
        <is>
          <t>LEKEBERG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18272-2024</t>
        </is>
      </c>
      <c r="B149" s="1" t="n">
        <v>45421.69873842593</v>
      </c>
      <c r="C149" s="1" t="n">
        <v>46116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47906-2023</t>
        </is>
      </c>
      <c r="B150" s="1" t="n">
        <v>45204</v>
      </c>
      <c r="C150" s="1" t="n">
        <v>46116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61584-2025</t>
        </is>
      </c>
      <c r="B151" s="1" t="n">
        <v>46002.34265046296</v>
      </c>
      <c r="C151" s="1" t="n">
        <v>46116</v>
      </c>
      <c r="D151" t="inlineStr">
        <is>
          <t>ÖREBRO LÄN</t>
        </is>
      </c>
      <c r="E151" t="inlineStr">
        <is>
          <t>LEKEBERG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46116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46116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46116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46116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46116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46116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24913-2023</t>
        </is>
      </c>
      <c r="B158" s="1" t="n">
        <v>45085.49424768519</v>
      </c>
      <c r="C158" s="1" t="n">
        <v>46116</v>
      </c>
      <c r="D158" t="inlineStr">
        <is>
          <t>ÖREBRO LÄN</t>
        </is>
      </c>
      <c r="E158" t="inlineStr">
        <is>
          <t>LEKEBERG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46116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56635-2022</t>
        </is>
      </c>
      <c r="B160" s="1" t="n">
        <v>44893</v>
      </c>
      <c r="C160" s="1" t="n">
        <v>46116</v>
      </c>
      <c r="D160" t="inlineStr">
        <is>
          <t>ÖREBRO LÄN</t>
        </is>
      </c>
      <c r="E160" t="inlineStr">
        <is>
          <t>LEKEBERG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1217-2026</t>
        </is>
      </c>
      <c r="B161" s="1" t="n">
        <v>46031.39998842592</v>
      </c>
      <c r="C161" s="1" t="n">
        <v>46116</v>
      </c>
      <c r="D161" t="inlineStr">
        <is>
          <t>ÖREBRO LÄN</t>
        </is>
      </c>
      <c r="E161" t="inlineStr">
        <is>
          <t>LEKEBERG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46116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46116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46116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46116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46116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46116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46116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46116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46116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46116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46116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46116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46116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46116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46116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46116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12546-2026</t>
        </is>
      </c>
      <c r="B178" s="1" t="n">
        <v>46090.63087962963</v>
      </c>
      <c r="C178" s="1" t="n">
        <v>46116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46116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46116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12547-2026</t>
        </is>
      </c>
      <c r="B181" s="1" t="n">
        <v>46090.63141203704</v>
      </c>
      <c r="C181" s="1" t="n">
        <v>46116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46116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46116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46116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46116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46116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46116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6223-2026</t>
        </is>
      </c>
      <c r="B188" s="1" t="n">
        <v>46055.44097222222</v>
      </c>
      <c r="C188" s="1" t="n">
        <v>46116</v>
      </c>
      <c r="D188" t="inlineStr">
        <is>
          <t>ÖREBRO LÄN</t>
        </is>
      </c>
      <c r="E188" t="inlineStr">
        <is>
          <t>LEKEBERG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39873-2024</t>
        </is>
      </c>
      <c r="B189" s="1" t="n">
        <v>45553</v>
      </c>
      <c r="C189" s="1" t="n">
        <v>46116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HYPERLINK("https://klasma.github.io/Logging_1814/knärot/A 39873-2024 karta knärot.png", "A 39873-2024")</f>
        <v/>
      </c>
      <c r="V189">
        <f>HYPERLINK("https://klasma.github.io/Logging_1814/klagomål/A 39873-2024 FSC-klagomål.docx", "A 39873-2024")</f>
        <v/>
      </c>
      <c r="W189">
        <f>HYPERLINK("https://klasma.github.io/Logging_1814/klagomålsmail/A 39873-2024 FSC-klagomål mail.docx", "A 39873-2024")</f>
        <v/>
      </c>
      <c r="X189">
        <f>HYPERLINK("https://klasma.github.io/Logging_1814/tillsyn/A 39873-2024 tillsynsbegäran.docx", "A 39873-2024")</f>
        <v/>
      </c>
      <c r="Y189">
        <f>HYPERLINK("https://klasma.github.io/Logging_1814/tillsynsmail/A 39873-2024 tillsynsbegäran mail.docx", "A 39873-2024")</f>
        <v/>
      </c>
    </row>
    <row r="190" ht="15" customHeight="1">
      <c r="A190" t="inlineStr">
        <is>
          <t>A 4468-2022</t>
        </is>
      </c>
      <c r="B190" s="1" t="n">
        <v>44589</v>
      </c>
      <c r="C190" s="1" t="n">
        <v>46116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36444-2022</t>
        </is>
      </c>
      <c r="B191" s="1" t="n">
        <v>44804.38798611111</v>
      </c>
      <c r="C191" s="1" t="n">
        <v>46116</v>
      </c>
      <c r="D191" t="inlineStr">
        <is>
          <t>ÖREBRO LÄN</t>
        </is>
      </c>
      <c r="E191" t="inlineStr">
        <is>
          <t>LEKEBERG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22198-2023</t>
        </is>
      </c>
      <c r="B192" s="1" t="n">
        <v>45069.78799768518</v>
      </c>
      <c r="C192" s="1" t="n">
        <v>46116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38955-2023</t>
        </is>
      </c>
      <c r="B193" s="1" t="n">
        <v>45163</v>
      </c>
      <c r="C193" s="1" t="n">
        <v>46116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14739-2026</t>
        </is>
      </c>
      <c r="B194" s="1" t="n">
        <v>46101.59451388889</v>
      </c>
      <c r="C194" s="1" t="n">
        <v>46116</v>
      </c>
      <c r="D194" t="inlineStr">
        <is>
          <t>ÖREBRO LÄN</t>
        </is>
      </c>
      <c r="E194" t="inlineStr">
        <is>
          <t>LEKEBERG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46116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46116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46116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46116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46116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46116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46116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46116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46116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46116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9933-2026</t>
        </is>
      </c>
      <c r="B205" s="1" t="n">
        <v>46073.45722222222</v>
      </c>
      <c r="C205" s="1" t="n">
        <v>46116</v>
      </c>
      <c r="D205" t="inlineStr">
        <is>
          <t>ÖREBRO LÄN</t>
        </is>
      </c>
      <c r="E205" t="inlineStr">
        <is>
          <t>LEKEBERG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46116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4470-2022</t>
        </is>
      </c>
      <c r="B207" s="1" t="n">
        <v>44589</v>
      </c>
      <c r="C207" s="1" t="n">
        <v>46116</v>
      </c>
      <c r="D207" t="inlineStr">
        <is>
          <t>ÖREBRO LÄN</t>
        </is>
      </c>
      <c r="E207" t="inlineStr">
        <is>
          <t>LEKEBERG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28579-2022</t>
        </is>
      </c>
      <c r="B208" s="1" t="n">
        <v>44748</v>
      </c>
      <c r="C208" s="1" t="n">
        <v>46116</v>
      </c>
      <c r="D208" t="inlineStr">
        <is>
          <t>ÖREBRO LÄN</t>
        </is>
      </c>
      <c r="E208" t="inlineStr">
        <is>
          <t>LEKEBERG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30802-2023</t>
        </is>
      </c>
      <c r="B209" s="1" t="n">
        <v>45112</v>
      </c>
      <c r="C209" s="1" t="n">
        <v>46116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46116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39867-2024</t>
        </is>
      </c>
      <c r="B211" s="1" t="n">
        <v>45553.46100694445</v>
      </c>
      <c r="C211" s="1" t="n">
        <v>46116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30603-2021</t>
        </is>
      </c>
      <c r="B212" s="1" t="n">
        <v>44365.28403935185</v>
      </c>
      <c r="C212" s="1" t="n">
        <v>46116</v>
      </c>
      <c r="D212" t="inlineStr">
        <is>
          <t>ÖREBRO LÄN</t>
        </is>
      </c>
      <c r="E212" t="inlineStr">
        <is>
          <t>LEKEBERG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61470-2024</t>
        </is>
      </c>
      <c r="B213" s="1" t="n">
        <v>45646</v>
      </c>
      <c r="C213" s="1" t="n">
        <v>46116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46116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62160-2024</t>
        </is>
      </c>
      <c r="B215" s="1" t="n">
        <v>45656.80090277778</v>
      </c>
      <c r="C215" s="1" t="n">
        <v>46116</v>
      </c>
      <c r="D215" t="inlineStr">
        <is>
          <t>ÖREBRO LÄN</t>
        </is>
      </c>
      <c r="E215" t="inlineStr">
        <is>
          <t>LEKEBERG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50104-2024</t>
        </is>
      </c>
      <c r="B216" s="1" t="n">
        <v>45600.40037037037</v>
      </c>
      <c r="C216" s="1" t="n">
        <v>46116</v>
      </c>
      <c r="D216" t="inlineStr">
        <is>
          <t>ÖREBRO LÄN</t>
        </is>
      </c>
      <c r="E216" t="inlineStr">
        <is>
          <t>LEKEBERG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33334-2023</t>
        </is>
      </c>
      <c r="B217" s="1" t="n">
        <v>45128.33488425926</v>
      </c>
      <c r="C217" s="1" t="n">
        <v>46116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55727-2024</t>
        </is>
      </c>
      <c r="B218" s="1" t="n">
        <v>45622.90070601852</v>
      </c>
      <c r="C218" s="1" t="n">
        <v>46116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10274-2023</t>
        </is>
      </c>
      <c r="B219" s="1" t="n">
        <v>44986</v>
      </c>
      <c r="C219" s="1" t="n">
        <v>46116</v>
      </c>
      <c r="D219" t="inlineStr">
        <is>
          <t>ÖREBRO LÄN</t>
        </is>
      </c>
      <c r="E219" t="inlineStr">
        <is>
          <t>LEKEBERG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58548-2024</t>
        </is>
      </c>
      <c r="B220" s="1" t="n">
        <v>45635.45878472222</v>
      </c>
      <c r="C220" s="1" t="n">
        <v>46116</v>
      </c>
      <c r="D220" t="inlineStr">
        <is>
          <t>ÖREBRO LÄN</t>
        </is>
      </c>
      <c r="E220" t="inlineStr">
        <is>
          <t>LEKEBERG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24055-2025</t>
        </is>
      </c>
      <c r="B221" s="1" t="n">
        <v>45796</v>
      </c>
      <c r="C221" s="1" t="n">
        <v>46116</v>
      </c>
      <c r="D221" t="inlineStr">
        <is>
          <t>ÖREBRO LÄN</t>
        </is>
      </c>
      <c r="E221" t="inlineStr">
        <is>
          <t>LEKEBERG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26863-2025</t>
        </is>
      </c>
      <c r="B222" s="1" t="n">
        <v>45810.69763888889</v>
      </c>
      <c r="C222" s="1" t="n">
        <v>46116</v>
      </c>
      <c r="D222" t="inlineStr">
        <is>
          <t>ÖREBRO LÄN</t>
        </is>
      </c>
      <c r="E222" t="inlineStr">
        <is>
          <t>LEKEBERG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29773-2025</t>
        </is>
      </c>
      <c r="B223" s="1" t="n">
        <v>45825.63271990741</v>
      </c>
      <c r="C223" s="1" t="n">
        <v>46116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33204-2025</t>
        </is>
      </c>
      <c r="B224" s="1" t="n">
        <v>45840.61181712963</v>
      </c>
      <c r="C224" s="1" t="n">
        <v>46116</v>
      </c>
      <c r="D224" t="inlineStr">
        <is>
          <t>ÖREBRO LÄN</t>
        </is>
      </c>
      <c r="E224" t="inlineStr">
        <is>
          <t>LEKEBERG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2026-04-04T10:47:28Z</dcterms:created>
  <dcterms:modified xmlns:dcterms="http://purl.org/dc/terms/" xmlns:xsi="http://www.w3.org/2001/XMLSchema-instance" xsi:type="dcterms:W3CDTF">2026-04-04T10:47:28Z</dcterms:modified>
</cp:coreProperties>
</file>