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46311</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46311</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46311</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46311</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46311</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46311</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4468-2022</t>
        </is>
      </c>
      <c r="B8" t="inlineStr">
        <is>
          <t>avverkningsanmälan</t>
        </is>
      </c>
      <c r="C8" t="inlineStr">
        <is>
          <t>Föryngringsavverkning</t>
        </is>
      </c>
      <c r="D8" s="1" t="n">
        <v>44589</v>
      </c>
      <c r="E8" s="1" t="n">
        <v>46311</v>
      </c>
      <c r="F8" t="inlineStr">
        <is>
          <t>ÖREBRO LÄN</t>
        </is>
      </c>
      <c r="G8" t="inlineStr">
        <is>
          <t>LEKEBERG</t>
        </is>
      </c>
      <c r="I8" t="n">
        <v>4.8</v>
      </c>
      <c r="J8" t="n">
        <v>4</v>
      </c>
      <c r="K8" t="n">
        <v>0</v>
      </c>
      <c r="L8" t="n">
        <v>1</v>
      </c>
      <c r="M8" t="n">
        <v>0</v>
      </c>
      <c r="N8" t="n">
        <v>0</v>
      </c>
      <c r="O8" t="n">
        <v>0</v>
      </c>
      <c r="P8" t="n">
        <v>0</v>
      </c>
      <c r="Q8" t="n">
        <v>1</v>
      </c>
      <c r="R8" t="n">
        <v>0</v>
      </c>
      <c r="S8" t="n">
        <v>4</v>
      </c>
      <c r="T8" t="n">
        <v>12</v>
      </c>
      <c r="U8" t="n">
        <v>12</v>
      </c>
      <c r="V8" s="2" t="inlineStr">
        <is>
          <t>Tretåig hackspett
Spillkråka
Tjäder
Tofsmes</t>
        </is>
      </c>
      <c r="W8">
        <f>HYPERLINK("https://klasma.github.io/Logging_1814/artfynd/A 4468-2022 artfynd.xlsx", "A 4468-2022")</f>
        <v/>
      </c>
      <c r="X8">
        <f>HYPERLINK("https://klasma.github.io/Logging_1814/kartor/A 4468-2022 karta.png", "A 4468-2022")</f>
        <v/>
      </c>
      <c r="Y8">
        <f>HYPERLINK("https://klasma.github.io/Logging_1814/kartor_geotiff/A 4468-2022 georefererad karta.tif", "A 4468-2022")</f>
        <v/>
      </c>
      <c r="AA8">
        <f>HYPERLINK("https://klasma.github.io/Logging_1814/klagomål/A 4468-2022 FSC-klagomål.docx", "A 4468-2022")</f>
        <v/>
      </c>
      <c r="AB8">
        <f>HYPERLINK("https://klasma.github.io/Logging_1814/klagomålsmail/A 4468-2022 FSC-klagomål mail.docx", "A 4468-2022")</f>
        <v/>
      </c>
      <c r="AC8">
        <f>HYPERLINK("https://klasma.github.io/Logging_1814/tillsyn/A 4468-2022 tillsynsbegäran.docx", "A 4468-2022")</f>
        <v/>
      </c>
      <c r="AD8">
        <f>HYPERLINK("https://klasma.github.io/Logging_1814/tillsynsmail/A 4468-2022 tillsynsbegäran mail.docx", "A 4468-2022")</f>
        <v/>
      </c>
      <c r="AE8">
        <f>HYPERLINK("https://klasma.github.io/Logging_1814/fåglar/A 4468-2022 prioriterade fågelarter.docx", "A 4468-2022")</f>
        <v/>
      </c>
    </row>
    <row r="9" ht="15" customHeight="1">
      <c r="A9" t="inlineStr">
        <is>
          <t>A 33104-2024</t>
        </is>
      </c>
      <c r="B9" t="inlineStr">
        <is>
          <t>avverkningsanmälan</t>
        </is>
      </c>
      <c r="C9" t="inlineStr">
        <is>
          <t>Föryngringsavverkning</t>
        </is>
      </c>
      <c r="D9" s="1" t="n">
        <v>45517</v>
      </c>
      <c r="E9" s="1" t="n">
        <v>46311</v>
      </c>
      <c r="F9" t="inlineStr">
        <is>
          <t>ÖREBRO LÄN</t>
        </is>
      </c>
      <c r="G9" t="inlineStr">
        <is>
          <t>LEKEBERG</t>
        </is>
      </c>
      <c r="I9" t="n">
        <v>4.6</v>
      </c>
      <c r="J9" t="n">
        <v>1</v>
      </c>
      <c r="K9" t="n">
        <v>0</v>
      </c>
      <c r="L9" t="n">
        <v>2</v>
      </c>
      <c r="M9" t="n">
        <v>1</v>
      </c>
      <c r="N9" t="n">
        <v>0</v>
      </c>
      <c r="O9" t="n">
        <v>0</v>
      </c>
      <c r="P9" t="n">
        <v>0</v>
      </c>
      <c r="Q9" t="n">
        <v>3</v>
      </c>
      <c r="R9" t="n">
        <v>1</v>
      </c>
      <c r="S9" t="n">
        <v>4</v>
      </c>
      <c r="T9" t="n">
        <v>4</v>
      </c>
      <c r="U9" t="n">
        <v>1</v>
      </c>
      <c r="V9" s="2" t="inlineStr">
        <is>
          <t>Garnlav
Blekspindling agg.
Jungfrulin
Fläcknycklar</t>
        </is>
      </c>
      <c r="W9">
        <f>HYPERLINK("https://klasma.github.io/Logging_1814/artfynd/A 33104-2024 artfynd.xlsx", "A 33104-2024")</f>
        <v/>
      </c>
      <c r="X9">
        <f>HYPERLINK("https://klasma.github.io/Logging_1814/kartor/A 33104-2024 karta.png", "A 33104-2024")</f>
        <v/>
      </c>
      <c r="Y9">
        <f>HYPERLINK("https://klasma.github.io/Logging_1814/kartor_geotiff/A 33104-2024 georefererad karta.tif", "A 33104-2024")</f>
        <v/>
      </c>
      <c r="Z9">
        <f>HYPERLINK("https://klasma.github.io/Logging_1814/knärot/A 33104-2024 karta knärot.png", "A 33104-2024")</f>
        <v/>
      </c>
      <c r="AA9">
        <f>HYPERLINK("https://klasma.github.io/Logging_1814/klagomål/A 33104-2024 FSC-klagomål.docx", "A 33104-2024")</f>
        <v/>
      </c>
      <c r="AB9">
        <f>HYPERLINK("https://klasma.github.io/Logging_1814/klagomålsmail/A 33104-2024 FSC-klagomål mail.docx", "A 33104-2024")</f>
        <v/>
      </c>
      <c r="AC9">
        <f>HYPERLINK("https://klasma.github.io/Logging_1814/tillsyn/A 33104-2024 tillsynsbegäran.docx", "A 33104-2024")</f>
        <v/>
      </c>
      <c r="AD9">
        <f>HYPERLINK("https://klasma.github.io/Logging_1814/tillsynsmail/A 33104-2024 tillsynsbegäran mail.docx", "A 33104-2024")</f>
        <v/>
      </c>
    </row>
    <row r="10" ht="15" customHeight="1">
      <c r="A10" t="inlineStr">
        <is>
          <t>A 31357-2026</t>
        </is>
      </c>
      <c r="B10" t="inlineStr">
        <is>
          <t>avverkningsanmälan</t>
        </is>
      </c>
      <c r="C10" t="inlineStr">
        <is>
          <t>Föryngringsavverkning</t>
        </is>
      </c>
      <c r="D10" s="1" t="n">
        <v>46219</v>
      </c>
      <c r="E10" s="1" t="n">
        <v>46311</v>
      </c>
      <c r="F10" t="inlineStr">
        <is>
          <t>ÖREBRO LÄN</t>
        </is>
      </c>
      <c r="G10" t="inlineStr">
        <is>
          <t>LEKEBERG</t>
        </is>
      </c>
      <c r="I10" t="n">
        <v>2.5</v>
      </c>
      <c r="J10" t="n">
        <v>4</v>
      </c>
      <c r="K10" t="n">
        <v>0</v>
      </c>
      <c r="L10" t="n">
        <v>1</v>
      </c>
      <c r="M10" t="n">
        <v>0</v>
      </c>
      <c r="N10" t="n">
        <v>0</v>
      </c>
      <c r="O10" t="n">
        <v>0</v>
      </c>
      <c r="P10" t="n">
        <v>0</v>
      </c>
      <c r="Q10" t="n">
        <v>1</v>
      </c>
      <c r="R10" t="n">
        <v>0</v>
      </c>
      <c r="S10" t="n">
        <v>4</v>
      </c>
      <c r="T10" t="n">
        <v>11</v>
      </c>
      <c r="U10" t="n">
        <v>11</v>
      </c>
      <c r="V10" s="2" t="inlineStr">
        <is>
          <t>Tretåig hackspett
Spillkråka
Tjäder
Tofsmes</t>
        </is>
      </c>
      <c r="W10">
        <f>HYPERLINK("https://klasma.github.io/Logging_1814/artfynd/A 31357-2026 artfynd.xlsx", "A 31357-2026")</f>
        <v/>
      </c>
      <c r="X10">
        <f>HYPERLINK("https://klasma.github.io/Logging_1814/kartor/A 31357-2026 karta.png", "A 31357-2026")</f>
        <v/>
      </c>
      <c r="Y10">
        <f>HYPERLINK("https://klasma.github.io/Logging_1814/kartor_geotiff/A 31357-2026 georefererad karta.tif", "A 31357-2026")</f>
        <v/>
      </c>
      <c r="AA10">
        <f>HYPERLINK("https://klasma.github.io/Logging_1814/klagomål/A 31357-2026 FSC-klagomål.docx", "A 31357-2026")</f>
        <v/>
      </c>
      <c r="AB10">
        <f>HYPERLINK("https://klasma.github.io/Logging_1814/klagomålsmail/A 31357-2026 FSC-klagomål mail.docx", "A 31357-2026")</f>
        <v/>
      </c>
      <c r="AC10">
        <f>HYPERLINK("https://klasma.github.io/Logging_1814/tillsyn/A 31357-2026 tillsynsbegäran.docx", "A 31357-2026")</f>
        <v/>
      </c>
      <c r="AD10">
        <f>HYPERLINK("https://klasma.github.io/Logging_1814/tillsynsmail/A 31357-2026 tillsynsbegäran mail.docx", "A 31357-2026")</f>
        <v/>
      </c>
      <c r="AE10">
        <f>HYPERLINK("https://klasma.github.io/Logging_1814/fåglar/A 31357-2026 prioriterade fågelarter.docx", "A 31357-2026")</f>
        <v/>
      </c>
    </row>
    <row r="11" ht="15" customHeight="1">
      <c r="A11" t="inlineStr">
        <is>
          <t>A 10680-2024</t>
        </is>
      </c>
      <c r="B11" t="inlineStr">
        <is>
          <t>avverkningsanmälan</t>
        </is>
      </c>
      <c r="C11" t="inlineStr">
        <is>
          <t>Föryngringsavverkning</t>
        </is>
      </c>
      <c r="D11" s="1" t="n">
        <v>45368</v>
      </c>
      <c r="E11" s="1" t="n">
        <v>46311</v>
      </c>
      <c r="F11" t="inlineStr">
        <is>
          <t>ÖREBRO LÄN</t>
        </is>
      </c>
      <c r="G11" t="inlineStr">
        <is>
          <t>LEKEBERG</t>
        </is>
      </c>
      <c r="I11" t="n">
        <v>0.9</v>
      </c>
      <c r="J11" t="n">
        <v>1</v>
      </c>
      <c r="K11" t="n">
        <v>0</v>
      </c>
      <c r="L11" t="n">
        <v>1</v>
      </c>
      <c r="M11" t="n">
        <v>0</v>
      </c>
      <c r="N11" t="n">
        <v>1</v>
      </c>
      <c r="O11" t="n">
        <v>0</v>
      </c>
      <c r="P11" t="n">
        <v>0</v>
      </c>
      <c r="Q11" t="n">
        <v>2</v>
      </c>
      <c r="R11" t="n">
        <v>1</v>
      </c>
      <c r="S11" t="n">
        <v>3</v>
      </c>
      <c r="T11" t="n">
        <v>6</v>
      </c>
      <c r="U11" t="n">
        <v>0</v>
      </c>
      <c r="V11" s="2" t="inlineStr">
        <is>
          <t>Ask
Svinrot
Blåsippa</t>
        </is>
      </c>
      <c r="W11">
        <f>HYPERLINK("https://klasma.github.io/Logging_1814/artfynd/A 10680-2024 artfynd.xlsx", "A 10680-2024")</f>
        <v/>
      </c>
      <c r="X11">
        <f>HYPERLINK("https://klasma.github.io/Logging_1814/kartor/A 10680-2024 karta.png", "A 10680-2024")</f>
        <v/>
      </c>
      <c r="Y11">
        <f>HYPERLINK("https://klasma.github.io/Logging_1814/kartor_geotiff/A 10680-2024 georefererad karta.tif", "A 10680-2024")</f>
        <v/>
      </c>
      <c r="AA11">
        <f>HYPERLINK("https://klasma.github.io/Logging_1814/klagomål/A 10680-2024 FSC-klagomål.docx", "A 10680-2024")</f>
        <v/>
      </c>
      <c r="AB11">
        <f>HYPERLINK("https://klasma.github.io/Logging_1814/klagomålsmail/A 10680-2024 FSC-klagomål mail.docx", "A 10680-2024")</f>
        <v/>
      </c>
      <c r="AC11">
        <f>HYPERLINK("https://klasma.github.io/Logging_1814/tillsyn/A 10680-2024 tillsynsbegäran.docx", "A 10680-2024")</f>
        <v/>
      </c>
      <c r="AD11">
        <f>HYPERLINK("https://klasma.github.io/Logging_1814/tillsynsmail/A 10680-2024 tillsynsbegäran mail.docx", "A 10680-2024")</f>
        <v/>
      </c>
    </row>
    <row r="12" ht="15" customHeight="1">
      <c r="A12" t="inlineStr">
        <is>
          <t>A 58428-2025</t>
        </is>
      </c>
      <c r="B12" t="inlineStr">
        <is>
          <t>avverkningsanmälan</t>
        </is>
      </c>
      <c r="C12" t="inlineStr">
        <is>
          <t>Föryngringsavverkning</t>
        </is>
      </c>
      <c r="D12" s="1" t="n">
        <v>45985</v>
      </c>
      <c r="E12" s="1" t="n">
        <v>46311</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S 10060-2021</t>
        </is>
      </c>
      <c r="B13" t="inlineStr">
        <is>
          <t>samrådsanmälan</t>
        </is>
      </c>
      <c r="C13" t="inlineStr">
        <is>
          <t>Annan skogsbruksåtgärd</t>
        </is>
      </c>
      <c r="D13" s="1" t="n">
        <v>44539</v>
      </c>
      <c r="E13" s="1" t="n">
        <v>46311</v>
      </c>
      <c r="F13" t="inlineStr">
        <is>
          <t>ÖREBRO LÄN</t>
        </is>
      </c>
      <c r="G13" t="inlineStr">
        <is>
          <t>LEKEBERG</t>
        </is>
      </c>
      <c r="I13" t="n">
        <v>1.4</v>
      </c>
      <c r="J13" t="n">
        <v>1</v>
      </c>
      <c r="K13" t="n">
        <v>2</v>
      </c>
      <c r="L13" t="n">
        <v>0</v>
      </c>
      <c r="M13" t="n">
        <v>0</v>
      </c>
      <c r="N13" t="n">
        <v>0</v>
      </c>
      <c r="O13" t="n">
        <v>0</v>
      </c>
      <c r="P13" t="n">
        <v>0</v>
      </c>
      <c r="Q13" t="n">
        <v>0</v>
      </c>
      <c r="R13" t="n">
        <v>0</v>
      </c>
      <c r="S13" t="n">
        <v>3</v>
      </c>
      <c r="T13" t="n">
        <v>3</v>
      </c>
      <c r="U13" t="n">
        <v>3</v>
      </c>
      <c r="V13" s="2" t="inlineStr">
        <is>
          <t>Bronshjon
Vedticka
Spillkråka</t>
        </is>
      </c>
      <c r="W13">
        <f>HYPERLINK("https://klasma.github.io/Logging_1814/artfynd/S 10060-2021 artfynd.xlsx", "S 10060-2021")</f>
        <v/>
      </c>
      <c r="X13">
        <f>HYPERLINK("https://klasma.github.io/Logging_1814/kartor/S 10060-2021 karta.png", "S 10060-2021")</f>
        <v/>
      </c>
      <c r="Y13">
        <f>HYPERLINK("https://klasma.github.io/Logging_1814/kartor_geotiff/S 10060-2021 georefererad karta.tif", "S 10060-2021")</f>
        <v/>
      </c>
      <c r="AA13">
        <f>HYPERLINK("https://klasma.github.io/Logging_1814/klagomål/S 10060-2021 FSC-klagomål.docx", "S 10060-2021")</f>
        <v/>
      </c>
      <c r="AB13">
        <f>HYPERLINK("https://klasma.github.io/Logging_1814/klagomålsmail/S 10060-2021 FSC-klagomål mail.docx", "S 10060-2021")</f>
        <v/>
      </c>
      <c r="AC13">
        <f>HYPERLINK("https://klasma.github.io/Logging_1814/tillsyn/S 10060-2021 tillsynsbegäran.docx", "S 10060-2021")</f>
        <v/>
      </c>
      <c r="AD13">
        <f>HYPERLINK("https://klasma.github.io/Logging_1814/tillsynsmail/S 10060-2021 tillsynsbegäran mail.docx", "S 10060-2021")</f>
        <v/>
      </c>
      <c r="AE13">
        <f>HYPERLINK("https://klasma.github.io/Logging_1814/fåglar/S 10060-2021 prioriterade fågelarter.docx", "S 10060-2021")</f>
        <v/>
      </c>
    </row>
    <row r="14" ht="15" customHeight="1">
      <c r="A14" t="inlineStr">
        <is>
          <t>A 35099-2025</t>
        </is>
      </c>
      <c r="B14" t="inlineStr">
        <is>
          <t>avverkningsanmälan</t>
        </is>
      </c>
      <c r="C14" t="inlineStr">
        <is>
          <t>Föryngringsavverkning</t>
        </is>
      </c>
      <c r="D14" s="1" t="n">
        <v>45852</v>
      </c>
      <c r="E14" s="1" t="n">
        <v>46311</v>
      </c>
      <c r="F14" t="inlineStr">
        <is>
          <t>ÖREBRO LÄN</t>
        </is>
      </c>
      <c r="G14" t="inlineStr">
        <is>
          <t>LEKEBERG</t>
        </is>
      </c>
      <c r="H14" t="inlineStr">
        <is>
          <t>Allmännings- och besparingsskogar</t>
        </is>
      </c>
      <c r="I14" t="n">
        <v>16.5</v>
      </c>
      <c r="J14" t="n">
        <v>2</v>
      </c>
      <c r="K14" t="n">
        <v>0</v>
      </c>
      <c r="L14" t="n">
        <v>0</v>
      </c>
      <c r="M14" t="n">
        <v>0</v>
      </c>
      <c r="N14" t="n">
        <v>0</v>
      </c>
      <c r="O14" t="n">
        <v>0</v>
      </c>
      <c r="P14" t="n">
        <v>0</v>
      </c>
      <c r="Q14" t="n">
        <v>0</v>
      </c>
      <c r="R14" t="n">
        <v>0</v>
      </c>
      <c r="S14" t="n">
        <v>2</v>
      </c>
      <c r="T14" t="n">
        <v>3</v>
      </c>
      <c r="U14" t="n">
        <v>3</v>
      </c>
      <c r="V14" s="2" t="inlineStr">
        <is>
          <t>Spillkråka
Kungsfågel</t>
        </is>
      </c>
      <c r="W14">
        <f>HYPERLINK("https://klasma.github.io/Logging_1814/artfynd/A 35099-2025 artfynd.xlsx", "A 35099-2025")</f>
        <v/>
      </c>
      <c r="X14">
        <f>HYPERLINK("https://klasma.github.io/Logging_1814/kartor/A 35099-2025 karta.png", "A 35099-2025")</f>
        <v/>
      </c>
      <c r="Y14">
        <f>HYPERLINK("https://klasma.github.io/Logging_1814/kartor_geotiff/A 35099-2025 georefererad karta.tif", "A 35099-2025")</f>
        <v/>
      </c>
      <c r="AA14">
        <f>HYPERLINK("https://klasma.github.io/Logging_1814/klagomål/A 35099-2025 FSC-klagomål.docx", "A 35099-2025")</f>
        <v/>
      </c>
      <c r="AB14">
        <f>HYPERLINK("https://klasma.github.io/Logging_1814/klagomålsmail/A 35099-2025 FSC-klagomål mail.docx", "A 35099-2025")</f>
        <v/>
      </c>
      <c r="AC14">
        <f>HYPERLINK("https://klasma.github.io/Logging_1814/tillsyn/A 35099-2025 tillsynsbegäran.docx", "A 35099-2025")</f>
        <v/>
      </c>
      <c r="AD14">
        <f>HYPERLINK("https://klasma.github.io/Logging_1814/tillsynsmail/A 35099-2025 tillsynsbegäran mail.docx", "A 35099-2025")</f>
        <v/>
      </c>
      <c r="AE14">
        <f>HYPERLINK("https://klasma.github.io/Logging_1814/fåglar/A 35099-2025 prioriterade fågelarter.docx", "A 35099-2025")</f>
        <v/>
      </c>
    </row>
    <row r="15" ht="15" customHeight="1">
      <c r="A15" t="inlineStr">
        <is>
          <t>A 15523-2026</t>
        </is>
      </c>
      <c r="B15" t="inlineStr">
        <is>
          <t>avverkningsanmälan</t>
        </is>
      </c>
      <c r="C15" t="inlineStr">
        <is>
          <t>Föryngringsavverkning</t>
        </is>
      </c>
      <c r="D15" s="1" t="n">
        <v>46106</v>
      </c>
      <c r="E15" s="1" t="n">
        <v>46311</v>
      </c>
      <c r="F15" t="inlineStr">
        <is>
          <t>ÖREBRO LÄN</t>
        </is>
      </c>
      <c r="G15" t="inlineStr">
        <is>
          <t>LEKEBERG</t>
        </is>
      </c>
      <c r="H15" t="inlineStr">
        <is>
          <t>Sveaskog</t>
        </is>
      </c>
      <c r="I15" t="n">
        <v>3.7</v>
      </c>
      <c r="J15" t="n">
        <v>0</v>
      </c>
      <c r="K15" t="n">
        <v>2</v>
      </c>
      <c r="L15" t="n">
        <v>0</v>
      </c>
      <c r="M15" t="n">
        <v>0</v>
      </c>
      <c r="N15" t="n">
        <v>0</v>
      </c>
      <c r="O15" t="n">
        <v>0</v>
      </c>
      <c r="P15" t="n">
        <v>0</v>
      </c>
      <c r="Q15" t="n">
        <v>0</v>
      </c>
      <c r="R15" t="n">
        <v>0</v>
      </c>
      <c r="S15" t="n">
        <v>2</v>
      </c>
      <c r="T15" t="n">
        <v>2</v>
      </c>
      <c r="U15" t="n">
        <v>0</v>
      </c>
      <c r="V15" s="2" t="inlineStr">
        <is>
          <t>Thymalus limbatus
Vanlig flatbagge</t>
        </is>
      </c>
      <c r="W15">
        <f>HYPERLINK("https://klasma.github.io/Logging_1814/artfynd/A 15523-2026 artfynd.xlsx", "A 15523-2026")</f>
        <v/>
      </c>
      <c r="X15">
        <f>HYPERLINK("https://klasma.github.io/Logging_1814/kartor/A 15523-2026 karta.png", "A 15523-2026")</f>
        <v/>
      </c>
      <c r="Y15">
        <f>HYPERLINK("https://klasma.github.io/Logging_1814/kartor_geotiff/A 15523-2026 georefererad karta.tif", "A 15523-2026")</f>
        <v/>
      </c>
      <c r="AA15">
        <f>HYPERLINK("https://klasma.github.io/Logging_1814/klagomål/A 15523-2026 FSC-klagomål.docx", "A 15523-2026")</f>
        <v/>
      </c>
      <c r="AB15">
        <f>HYPERLINK("https://klasma.github.io/Logging_1814/klagomålsmail/A 15523-2026 FSC-klagomål mail.docx", "A 15523-2026")</f>
        <v/>
      </c>
      <c r="AC15">
        <f>HYPERLINK("https://klasma.github.io/Logging_1814/tillsyn/A 15523-2026 tillsynsbegäran.docx", "A 15523-2026")</f>
        <v/>
      </c>
      <c r="AD15">
        <f>HYPERLINK("https://klasma.github.io/Logging_1814/tillsynsmail/A 15523-2026 tillsynsbegäran mail.docx", "A 15523-2026")</f>
        <v/>
      </c>
    </row>
    <row r="16" ht="15" customHeight="1">
      <c r="A16" t="inlineStr">
        <is>
          <t>A 37012-2022</t>
        </is>
      </c>
      <c r="B16" t="inlineStr">
        <is>
          <t>avverkningsanmälan</t>
        </is>
      </c>
      <c r="C16" t="inlineStr">
        <is>
          <t>Föryngringsavverkning</t>
        </is>
      </c>
      <c r="D16" s="1" t="n">
        <v>44806</v>
      </c>
      <c r="E16" s="1" t="n">
        <v>46311</v>
      </c>
      <c r="F16" t="inlineStr">
        <is>
          <t>ÖREBRO LÄN</t>
        </is>
      </c>
      <c r="G16" t="inlineStr">
        <is>
          <t>LEKEBERG</t>
        </is>
      </c>
      <c r="I16" t="n">
        <v>3.9</v>
      </c>
      <c r="J16" t="n">
        <v>2</v>
      </c>
      <c r="K16" t="n">
        <v>0</v>
      </c>
      <c r="L16" t="n">
        <v>0</v>
      </c>
      <c r="M16" t="n">
        <v>1</v>
      </c>
      <c r="N16" t="n">
        <v>0</v>
      </c>
      <c r="O16" t="n">
        <v>0</v>
      </c>
      <c r="P16" t="n">
        <v>0</v>
      </c>
      <c r="Q16" t="n">
        <v>1</v>
      </c>
      <c r="R16" t="n">
        <v>1</v>
      </c>
      <c r="S16" t="n">
        <v>2</v>
      </c>
      <c r="T16" t="n">
        <v>10</v>
      </c>
      <c r="U16" t="n">
        <v>1</v>
      </c>
      <c r="V16" s="2" t="inlineStr">
        <is>
          <t>Knärot
Spillkråka</t>
        </is>
      </c>
      <c r="W16">
        <f>HYPERLINK("https://klasma.github.io/Logging_1814/artfynd/A 37012-2022 artfynd.xlsx", "A 37012-2022")</f>
        <v/>
      </c>
      <c r="X16">
        <f>HYPERLINK("https://klasma.github.io/Logging_1814/kartor/A 37012-2022 karta.png", "A 37012-2022")</f>
        <v/>
      </c>
      <c r="Y16">
        <f>HYPERLINK("https://klasma.github.io/Logging_1814/kartor_geotiff/A 37012-2022 georefererad karta.tif", "A 37012-2022")</f>
        <v/>
      </c>
      <c r="Z16">
        <f>HYPERLINK("https://klasma.github.io/Logging_1814/knärot/A 37012-2022 karta knärot.png", "A 37012-2022")</f>
        <v/>
      </c>
      <c r="AA16">
        <f>HYPERLINK("https://klasma.github.io/Logging_1814/klagomål/A 37012-2022 FSC-klagomål.docx", "A 37012-2022")</f>
        <v/>
      </c>
      <c r="AB16">
        <f>HYPERLINK("https://klasma.github.io/Logging_1814/klagomålsmail/A 37012-2022 FSC-klagomål mail.docx", "A 37012-2022")</f>
        <v/>
      </c>
      <c r="AC16">
        <f>HYPERLINK("https://klasma.github.io/Logging_1814/tillsyn/A 37012-2022 tillsynsbegäran.docx", "A 37012-2022")</f>
        <v/>
      </c>
      <c r="AD16">
        <f>HYPERLINK("https://klasma.github.io/Logging_1814/tillsynsmail/A 37012-2022 tillsynsbegäran mail.docx", "A 37012-2022")</f>
        <v/>
      </c>
      <c r="AE16">
        <f>HYPERLINK("https://klasma.github.io/Logging_1814/fåglar/A 37012-2022 prioriterade fågelarter.docx", "A 37012-2022")</f>
        <v/>
      </c>
    </row>
    <row r="17" ht="15" customHeight="1">
      <c r="A17" t="inlineStr">
        <is>
          <t>A 27240-2026</t>
        </is>
      </c>
      <c r="B17" t="inlineStr">
        <is>
          <t>avverkningsanmälan</t>
        </is>
      </c>
      <c r="C17" t="inlineStr">
        <is>
          <t>Föryngringsavverkning</t>
        </is>
      </c>
      <c r="D17" s="1" t="n">
        <v>46184</v>
      </c>
      <c r="E17" s="1" t="n">
        <v>46311</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11678-2024</t>
        </is>
      </c>
      <c r="B18" t="inlineStr">
        <is>
          <t>avverkningsanmälan</t>
        </is>
      </c>
      <c r="C18" t="inlineStr">
        <is>
          <t>Föryngringsavverkning</t>
        </is>
      </c>
      <c r="D18" s="1" t="n">
        <v>45373</v>
      </c>
      <c r="E18" s="1" t="n">
        <v>46311</v>
      </c>
      <c r="F18" t="inlineStr">
        <is>
          <t>ÖREBRO LÄN</t>
        </is>
      </c>
      <c r="G18" t="inlineStr">
        <is>
          <t>LEKEBERG</t>
        </is>
      </c>
      <c r="H18" t="inlineStr">
        <is>
          <t>Kyrkan</t>
        </is>
      </c>
      <c r="I18" t="n">
        <v>1</v>
      </c>
      <c r="J18" t="n">
        <v>1</v>
      </c>
      <c r="K18" t="n">
        <v>0</v>
      </c>
      <c r="L18" t="n">
        <v>0</v>
      </c>
      <c r="M18" t="n">
        <v>0</v>
      </c>
      <c r="N18" t="n">
        <v>1</v>
      </c>
      <c r="O18" t="n">
        <v>0</v>
      </c>
      <c r="P18" t="n">
        <v>0</v>
      </c>
      <c r="Q18" t="n">
        <v>1</v>
      </c>
      <c r="R18" t="n">
        <v>1</v>
      </c>
      <c r="S18" t="n">
        <v>2</v>
      </c>
      <c r="T18" t="n">
        <v>2</v>
      </c>
      <c r="U18" t="n">
        <v>0</v>
      </c>
      <c r="V18" s="2" t="inlineStr">
        <is>
          <t>Ask
Svartvit flugsnappare</t>
        </is>
      </c>
      <c r="W18">
        <f>HYPERLINK("https://klasma.github.io/Logging_1814/artfynd/A 11678-2024 artfynd.xlsx", "A 11678-2024")</f>
        <v/>
      </c>
      <c r="X18">
        <f>HYPERLINK("https://klasma.github.io/Logging_1814/kartor/A 11678-2024 karta.png", "A 11678-2024")</f>
        <v/>
      </c>
      <c r="Y18">
        <f>HYPERLINK("https://klasma.github.io/Logging_1814/kartor_geotiff/A 11678-2024 georefererad karta.tif", "A 11678-2024")</f>
        <v/>
      </c>
      <c r="AA18">
        <f>HYPERLINK("https://klasma.github.io/Logging_1814/klagomål/A 11678-2024 FSC-klagomål.docx", "A 11678-2024")</f>
        <v/>
      </c>
      <c r="AB18">
        <f>HYPERLINK("https://klasma.github.io/Logging_1814/klagomålsmail/A 11678-2024 FSC-klagomål mail.docx", "A 11678-2024")</f>
        <v/>
      </c>
      <c r="AC18">
        <f>HYPERLINK("https://klasma.github.io/Logging_1814/tillsyn/A 11678-2024 tillsynsbegäran.docx", "A 11678-2024")</f>
        <v/>
      </c>
      <c r="AD18">
        <f>HYPERLINK("https://klasma.github.io/Logging_1814/tillsynsmail/A 11678-2024 tillsynsbegäran mail.docx", "A 11678-2024")</f>
        <v/>
      </c>
    </row>
    <row r="19" ht="15" customHeight="1">
      <c r="A19" t="inlineStr">
        <is>
          <t>A 11637-2025</t>
        </is>
      </c>
      <c r="B19" t="inlineStr">
        <is>
          <t>avverkningsanmälan</t>
        </is>
      </c>
      <c r="C19" t="inlineStr">
        <is>
          <t>Avverkning för att bevara och utveckla /försöksver</t>
        </is>
      </c>
      <c r="D19" s="1" t="n">
        <v>45727</v>
      </c>
      <c r="E19" s="1" t="n">
        <v>46311</v>
      </c>
      <c r="F19" t="inlineStr">
        <is>
          <t>ÖREBRO LÄN</t>
        </is>
      </c>
      <c r="G19" t="inlineStr">
        <is>
          <t>LEKEBERG</t>
        </is>
      </c>
      <c r="H19" t="inlineStr">
        <is>
          <t>Sveaskog</t>
        </is>
      </c>
      <c r="I19" t="n">
        <v>2.1</v>
      </c>
      <c r="J19" t="n">
        <v>0</v>
      </c>
      <c r="K19" t="n">
        <v>1</v>
      </c>
      <c r="L19" t="n">
        <v>0</v>
      </c>
      <c r="M19" t="n">
        <v>0</v>
      </c>
      <c r="N19" t="n">
        <v>1</v>
      </c>
      <c r="O19" t="n">
        <v>0</v>
      </c>
      <c r="P19" t="n">
        <v>0</v>
      </c>
      <c r="Q19" t="n">
        <v>1</v>
      </c>
      <c r="R19" t="n">
        <v>1</v>
      </c>
      <c r="S19" t="n">
        <v>2</v>
      </c>
      <c r="T19" t="n">
        <v>2</v>
      </c>
      <c r="U19" t="n">
        <v>0</v>
      </c>
      <c r="V19" s="2" t="inlineStr">
        <is>
          <t>Ask
Rävticka</t>
        </is>
      </c>
      <c r="W19">
        <f>HYPERLINK("https://klasma.github.io/Logging_1814/artfynd/A 11637-2025 artfynd.xlsx", "A 11637-2025")</f>
        <v/>
      </c>
      <c r="X19">
        <f>HYPERLINK("https://klasma.github.io/Logging_1814/kartor/A 11637-2025 karta.png", "A 11637-2025")</f>
        <v/>
      </c>
      <c r="Y19">
        <f>HYPERLINK("https://klasma.github.io/Logging_1814/kartor_geotiff/A 11637-2025 georefererad karta.tif", "A 11637-2025")</f>
        <v/>
      </c>
      <c r="AA19">
        <f>HYPERLINK("https://klasma.github.io/Logging_1814/klagomål/A 11637-2025 FSC-klagomål.docx", "A 11637-2025")</f>
        <v/>
      </c>
      <c r="AB19">
        <f>HYPERLINK("https://klasma.github.io/Logging_1814/klagomålsmail/A 11637-2025 FSC-klagomål mail.docx", "A 11637-2025")</f>
        <v/>
      </c>
      <c r="AC19">
        <f>HYPERLINK("https://klasma.github.io/Logging_1814/tillsyn/A 11637-2025 tillsynsbegäran.docx", "A 11637-2025")</f>
        <v/>
      </c>
      <c r="AD19">
        <f>HYPERLINK("https://klasma.github.io/Logging_1814/tillsynsmail/A 11637-2025 tillsynsbegäran mail.docx", "A 11637-2025")</f>
        <v/>
      </c>
    </row>
    <row r="20" ht="15" customHeight="1">
      <c r="A20" t="inlineStr">
        <is>
          <t>S 765-2025</t>
        </is>
      </c>
      <c r="B20" t="inlineStr">
        <is>
          <t>samrådsanmälan</t>
        </is>
      </c>
      <c r="C20" t="inlineStr">
        <is>
          <t>Annan skogsbruksåtgärd</t>
        </is>
      </c>
      <c r="D20" s="1" t="n">
        <v>45727</v>
      </c>
      <c r="E20" s="1" t="n">
        <v>46311</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HYPERLINK("https://klasma.github.io/Logging_1814/artfynd/S 765-2025 artfynd.xlsx", "S 765-2025")</f>
        <v/>
      </c>
      <c r="X20">
        <f>HYPERLINK("https://klasma.github.io/Logging_1814/kartor/S 765-2025 karta.png", "S 765-2025")</f>
        <v/>
      </c>
      <c r="Y20">
        <f>HYPERLINK("https://klasma.github.io/Logging_1814/kartor_geotiff/S 765-2025 georefererad karta.tif", "S 765-2025")</f>
        <v/>
      </c>
      <c r="AA20">
        <f>HYPERLINK("https://klasma.github.io/Logging_1814/klagomål/S 765-2025 FSC-klagomål.docx", "S 765-2025")</f>
        <v/>
      </c>
      <c r="AB20">
        <f>HYPERLINK("https://klasma.github.io/Logging_1814/klagomålsmail/S 765-2025 FSC-klagomål mail.docx", "S 765-2025")</f>
        <v/>
      </c>
      <c r="AC20">
        <f>HYPERLINK("https://klasma.github.io/Logging_1814/tillsyn/S 765-2025 tillsynsbegäran.docx", "S 765-2025")</f>
        <v/>
      </c>
      <c r="AD20">
        <f>HYPERLINK("https://klasma.github.io/Logging_1814/tillsynsmail/S 765-2025 tillsynsbegäran mail.docx", "S 765-2025")</f>
        <v/>
      </c>
    </row>
    <row r="21" ht="15" customHeight="1">
      <c r="A21" t="inlineStr">
        <is>
          <t>S 262-2026</t>
        </is>
      </c>
      <c r="B21" t="inlineStr">
        <is>
          <t>samrådsanmälan</t>
        </is>
      </c>
      <c r="C21" t="inlineStr">
        <is>
          <t>Annan skogsbruksåtgärd</t>
        </is>
      </c>
      <c r="D21" s="1" t="n">
        <v>46052</v>
      </c>
      <c r="E21" s="1" t="n">
        <v>46311</v>
      </c>
      <c r="F21" t="inlineStr">
        <is>
          <t>ÖREBRO LÄN</t>
        </is>
      </c>
      <c r="G21" t="inlineStr">
        <is>
          <t>LEKEBERG</t>
        </is>
      </c>
      <c r="I21" t="n">
        <v>0.2</v>
      </c>
      <c r="J21" t="n">
        <v>0</v>
      </c>
      <c r="K21" t="n">
        <v>0</v>
      </c>
      <c r="L21" t="n">
        <v>1</v>
      </c>
      <c r="M21" t="n">
        <v>0</v>
      </c>
      <c r="N21" t="n">
        <v>1</v>
      </c>
      <c r="O21" t="n">
        <v>0</v>
      </c>
      <c r="P21" t="n">
        <v>0</v>
      </c>
      <c r="Q21" t="n">
        <v>2</v>
      </c>
      <c r="R21" t="n">
        <v>1</v>
      </c>
      <c r="S21" t="n">
        <v>2</v>
      </c>
      <c r="T21" t="n">
        <v>4</v>
      </c>
      <c r="U21" t="n">
        <v>0</v>
      </c>
      <c r="V21" s="2" t="inlineStr">
        <is>
          <t>Ask
Svinrot</t>
        </is>
      </c>
      <c r="W21">
        <f>HYPERLINK("https://klasma.github.io/Logging_1814/artfynd/S 262-2026 artfynd.xlsx", "S 262-2026")</f>
        <v/>
      </c>
      <c r="X21">
        <f>HYPERLINK("https://klasma.github.io/Logging_1814/kartor/S 262-2026 karta.png", "S 262-2026")</f>
        <v/>
      </c>
      <c r="Y21">
        <f>HYPERLINK("https://klasma.github.io/Logging_1814/kartor_geotiff/S 262-2026 georefererad karta.tif", "S 262-2026")</f>
        <v/>
      </c>
      <c r="AA21">
        <f>HYPERLINK("https://klasma.github.io/Logging_1814/klagomål/S 262-2026 FSC-klagomål.docx", "S 262-2026")</f>
        <v/>
      </c>
      <c r="AB21">
        <f>HYPERLINK("https://klasma.github.io/Logging_1814/klagomålsmail/S 262-2026 FSC-klagomål mail.docx", "S 262-2026")</f>
        <v/>
      </c>
      <c r="AC21">
        <f>HYPERLINK("https://klasma.github.io/Logging_1814/tillsyn/S 262-2026 tillsynsbegäran.docx", "S 262-2026")</f>
        <v/>
      </c>
      <c r="AD21">
        <f>HYPERLINK("https://klasma.github.io/Logging_1814/tillsynsmail/S 262-2026 tillsynsbegäran mail.docx", "S 262-2026")</f>
        <v/>
      </c>
    </row>
    <row r="22" ht="15" customHeight="1">
      <c r="A22" t="inlineStr">
        <is>
          <t>A 59542-2021</t>
        </is>
      </c>
      <c r="B22" t="inlineStr">
        <is>
          <t>avverkningsanmälan</t>
        </is>
      </c>
      <c r="C22" t="inlineStr">
        <is>
          <t>Föryngringsavverkning</t>
        </is>
      </c>
      <c r="D22" s="1" t="n">
        <v>44491</v>
      </c>
      <c r="E22" s="1" t="n">
        <v>46311</v>
      </c>
      <c r="F22" t="inlineStr">
        <is>
          <t>ÖREBRO LÄN</t>
        </is>
      </c>
      <c r="G22" t="inlineStr">
        <is>
          <t>LEKEBERG</t>
        </is>
      </c>
      <c r="I22" t="n">
        <v>0.7</v>
      </c>
      <c r="J22" t="n">
        <v>0</v>
      </c>
      <c r="K22" t="n">
        <v>0</v>
      </c>
      <c r="L22" t="n">
        <v>0</v>
      </c>
      <c r="M22" t="n">
        <v>0</v>
      </c>
      <c r="N22" t="n">
        <v>1</v>
      </c>
      <c r="O22" t="n">
        <v>0</v>
      </c>
      <c r="P22" t="n">
        <v>0</v>
      </c>
      <c r="Q22" t="n">
        <v>1</v>
      </c>
      <c r="R22" t="n">
        <v>1</v>
      </c>
      <c r="S22" t="n">
        <v>1</v>
      </c>
      <c r="T22" t="n">
        <v>1</v>
      </c>
      <c r="U22" t="n">
        <v>0</v>
      </c>
      <c r="V22" s="2" t="inlineStr">
        <is>
          <t>Ask</t>
        </is>
      </c>
      <c r="W22">
        <f>HYPERLINK("https://klasma.github.io/Logging_1814/artfynd/A 59542-2021 artfynd.xlsx", "A 59542-2021")</f>
        <v/>
      </c>
      <c r="X22">
        <f>HYPERLINK("https://klasma.github.io/Logging_1814/kartor/A 59542-2021 karta.png", "A 59542-2021")</f>
        <v/>
      </c>
      <c r="Y22">
        <f>HYPERLINK("https://klasma.github.io/Logging_1814/kartor_geotiff/A 59542-2021 georefererad karta.tif", "A 59542-2021")</f>
        <v/>
      </c>
      <c r="AA22">
        <f>HYPERLINK("https://klasma.github.io/Logging_1814/klagomål/A 59542-2021 FSC-klagomål.docx", "A 59542-2021")</f>
        <v/>
      </c>
      <c r="AB22">
        <f>HYPERLINK("https://klasma.github.io/Logging_1814/klagomålsmail/A 59542-2021 FSC-klagomål mail.docx", "A 59542-2021")</f>
        <v/>
      </c>
      <c r="AC22">
        <f>HYPERLINK("https://klasma.github.io/Logging_1814/tillsyn/A 59542-2021 tillsynsbegäran.docx", "A 59542-2021")</f>
        <v/>
      </c>
      <c r="AD22">
        <f>HYPERLINK("https://klasma.github.io/Logging_1814/tillsynsmail/A 59542-2021 tillsynsbegäran mail.docx", "A 59542-2021")</f>
        <v/>
      </c>
    </row>
    <row r="23" ht="15" customHeight="1">
      <c r="A23" t="inlineStr">
        <is>
          <t>A 1515-2024</t>
        </is>
      </c>
      <c r="B23" t="inlineStr">
        <is>
          <t>avverkningsanmälan</t>
        </is>
      </c>
      <c r="C23" t="inlineStr">
        <is>
          <t>Föryngringsavverkning</t>
        </is>
      </c>
      <c r="D23" s="1" t="n">
        <v>45305</v>
      </c>
      <c r="E23" s="1" t="n">
        <v>46311</v>
      </c>
      <c r="F23" t="inlineStr">
        <is>
          <t>ÖREBRO LÄN</t>
        </is>
      </c>
      <c r="G23" t="inlineStr">
        <is>
          <t>LEKEBERG</t>
        </is>
      </c>
      <c r="I23" t="n">
        <v>3.7</v>
      </c>
      <c r="J23" t="n">
        <v>1</v>
      </c>
      <c r="K23" t="n">
        <v>0</v>
      </c>
      <c r="L23" t="n">
        <v>0</v>
      </c>
      <c r="M23" t="n">
        <v>0</v>
      </c>
      <c r="N23" t="n">
        <v>0</v>
      </c>
      <c r="O23" t="n">
        <v>0</v>
      </c>
      <c r="P23" t="n">
        <v>0</v>
      </c>
      <c r="Q23" t="n">
        <v>0</v>
      </c>
      <c r="R23" t="n">
        <v>0</v>
      </c>
      <c r="S23" t="n">
        <v>1</v>
      </c>
      <c r="T23" t="n">
        <v>1</v>
      </c>
      <c r="U23" t="n">
        <v>1</v>
      </c>
      <c r="V23" s="2" t="inlineStr">
        <is>
          <t>Spillkråka</t>
        </is>
      </c>
      <c r="W23">
        <f>HYPERLINK("https://klasma.github.io/Logging_1814/artfynd/A 1515-2024 artfynd.xlsx", "A 1515-2024")</f>
        <v/>
      </c>
      <c r="X23">
        <f>HYPERLINK("https://klasma.github.io/Logging_1814/kartor/A 1515-2024 karta.png", "A 1515-2024")</f>
        <v/>
      </c>
      <c r="Y23">
        <f>HYPERLINK("https://klasma.github.io/Logging_1814/kartor_geotiff/A 1515-2024 georefererad karta.tif", "A 1515-2024")</f>
        <v/>
      </c>
      <c r="AA23">
        <f>HYPERLINK("https://klasma.github.io/Logging_1814/klagomål/A 1515-2024 FSC-klagomål.docx", "A 1515-2024")</f>
        <v/>
      </c>
      <c r="AB23">
        <f>HYPERLINK("https://klasma.github.io/Logging_1814/klagomålsmail/A 1515-2024 FSC-klagomål mail.docx", "A 1515-2024")</f>
        <v/>
      </c>
      <c r="AC23">
        <f>HYPERLINK("https://klasma.github.io/Logging_1814/tillsyn/A 1515-2024 tillsynsbegäran.docx", "A 1515-2024")</f>
        <v/>
      </c>
      <c r="AD23">
        <f>HYPERLINK("https://klasma.github.io/Logging_1814/tillsynsmail/A 1515-2024 tillsynsbegäran mail.docx", "A 1515-2024")</f>
        <v/>
      </c>
      <c r="AE23">
        <f>HYPERLINK("https://klasma.github.io/Logging_1814/fåglar/A 1515-2024 prioriterade fågelarter.docx", "A 1515-2024")</f>
        <v/>
      </c>
    </row>
    <row r="24" ht="15" customHeight="1">
      <c r="A24" t="inlineStr">
        <is>
          <t>A 14353-2024</t>
        </is>
      </c>
      <c r="B24" t="inlineStr">
        <is>
          <t>avverkningsanmälan</t>
        </is>
      </c>
      <c r="C24" t="inlineStr">
        <is>
          <t>Föryngringsavverkning</t>
        </is>
      </c>
      <c r="D24" s="1" t="n">
        <v>45393</v>
      </c>
      <c r="E24" s="1" t="n">
        <v>46311</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33259-2023</t>
        </is>
      </c>
      <c r="B25" t="inlineStr">
        <is>
          <t>avverkningsanmälan</t>
        </is>
      </c>
      <c r="C25" t="inlineStr">
        <is>
          <t>Föryngringsavverkning</t>
        </is>
      </c>
      <c r="D25" s="1" t="n">
        <v>45127</v>
      </c>
      <c r="E25" s="1" t="n">
        <v>46311</v>
      </c>
      <c r="F25" t="inlineStr">
        <is>
          <t>ÖREBRO LÄN</t>
        </is>
      </c>
      <c r="G25" t="inlineStr">
        <is>
          <t>LEKEBERG</t>
        </is>
      </c>
      <c r="I25" t="n">
        <v>0.6</v>
      </c>
      <c r="J25" t="n">
        <v>1</v>
      </c>
      <c r="K25" t="n">
        <v>0</v>
      </c>
      <c r="L25" t="n">
        <v>0</v>
      </c>
      <c r="M25" t="n">
        <v>0</v>
      </c>
      <c r="N25" t="n">
        <v>0</v>
      </c>
      <c r="O25" t="n">
        <v>0</v>
      </c>
      <c r="P25" t="n">
        <v>0</v>
      </c>
      <c r="Q25" t="n">
        <v>0</v>
      </c>
      <c r="R25" t="n">
        <v>0</v>
      </c>
      <c r="S25" t="n">
        <v>1</v>
      </c>
      <c r="T25" t="n">
        <v>1</v>
      </c>
      <c r="U25" t="n">
        <v>0</v>
      </c>
      <c r="V25" s="2" t="inlineStr">
        <is>
          <t>Blåsippa</t>
        </is>
      </c>
      <c r="W25">
        <f>HYPERLINK("https://klasma.github.io/Logging_1814/artfynd/A 33259-2023 artfynd.xlsx", "A 33259-2023")</f>
        <v/>
      </c>
      <c r="X25">
        <f>HYPERLINK("https://klasma.github.io/Logging_1814/kartor/A 33259-2023 karta.png", "A 33259-2023")</f>
        <v/>
      </c>
      <c r="Y25">
        <f>HYPERLINK("https://klasma.github.io/Logging_1814/kartor_geotiff/A 33259-2023 georefererad karta.tif", "A 33259-2023")</f>
        <v/>
      </c>
      <c r="AA25">
        <f>HYPERLINK("https://klasma.github.io/Logging_1814/klagomål/A 33259-2023 FSC-klagomål.docx", "A 33259-2023")</f>
        <v/>
      </c>
      <c r="AB25">
        <f>HYPERLINK("https://klasma.github.io/Logging_1814/klagomålsmail/A 33259-2023 FSC-klagomål mail.docx", "A 33259-2023")</f>
        <v/>
      </c>
      <c r="AC25">
        <f>HYPERLINK("https://klasma.github.io/Logging_1814/tillsyn/A 33259-2023 tillsynsbegäran.docx", "A 33259-2023")</f>
        <v/>
      </c>
      <c r="AD25">
        <f>HYPERLINK("https://klasma.github.io/Logging_1814/tillsynsmail/A 33259-2023 tillsynsbegäran mail.docx", "A 33259-2023")</f>
        <v/>
      </c>
    </row>
    <row r="26" ht="15" customHeight="1">
      <c r="A26" t="inlineStr">
        <is>
          <t>A 44857-2025</t>
        </is>
      </c>
      <c r="B26" t="inlineStr">
        <is>
          <t>avverkningsanmälan</t>
        </is>
      </c>
      <c r="C26" t="inlineStr">
        <is>
          <t>Föryngringsavverkning</t>
        </is>
      </c>
      <c r="D26" s="1" t="n">
        <v>45918</v>
      </c>
      <c r="E26" s="1" t="n">
        <v>46311</v>
      </c>
      <c r="F26" t="inlineStr">
        <is>
          <t>ÖREBRO LÄN</t>
        </is>
      </c>
      <c r="G26" t="inlineStr">
        <is>
          <t>LEKEBERG</t>
        </is>
      </c>
      <c r="I26" t="n">
        <v>3.1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HYPERLINK("https://klasma.github.io/Logging_1814/artfynd/A 44857-2025 artfynd.xlsx", "A 44857-2025")</f>
        <v/>
      </c>
      <c r="X26">
        <f>HYPERLINK("https://klasma.github.io/Logging_1814/kartor/A 44857-2025 karta.png", "A 44857-2025")</f>
        <v/>
      </c>
      <c r="Y26">
        <f>HYPERLINK("https://klasma.github.io/Logging_1814/kartor_geotiff/A 44857-2025 georefererad karta.tif", "A 44857-2025")</f>
        <v/>
      </c>
      <c r="AA26">
        <f>HYPERLINK("https://klasma.github.io/Logging_1814/klagomål/A 44857-2025 FSC-klagomål.docx", "A 44857-2025")</f>
        <v/>
      </c>
      <c r="AB26">
        <f>HYPERLINK("https://klasma.github.io/Logging_1814/klagomålsmail/A 44857-2025 FSC-klagomål mail.docx", "A 44857-2025")</f>
        <v/>
      </c>
      <c r="AC26">
        <f>HYPERLINK("https://klasma.github.io/Logging_1814/tillsyn/A 44857-2025 tillsynsbegäran.docx", "A 44857-2025")</f>
        <v/>
      </c>
      <c r="AD26">
        <f>HYPERLINK("https://klasma.github.io/Logging_1814/tillsynsmail/A 44857-2025 tillsynsbegäran mail.docx", "A 44857-2025")</f>
        <v/>
      </c>
    </row>
    <row r="27" ht="15" customHeight="1">
      <c r="A27" t="inlineStr">
        <is>
          <t>A 18382-2023</t>
        </is>
      </c>
      <c r="B27" t="inlineStr">
        <is>
          <t>avverkningsanmälan</t>
        </is>
      </c>
      <c r="C27" t="inlineStr">
        <is>
          <t>Föryngringsavverkning</t>
        </is>
      </c>
      <c r="D27" s="1" t="n">
        <v>45042</v>
      </c>
      <c r="E27" s="1" t="n">
        <v>46311</v>
      </c>
      <c r="F27" t="inlineStr">
        <is>
          <t>ÖREBRO LÄN</t>
        </is>
      </c>
      <c r="G27" t="inlineStr">
        <is>
          <t>LEKEBERG</t>
        </is>
      </c>
      <c r="I27" t="n">
        <v>2.5</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18382-2023 artfynd.xlsx", "A 18382-2023")</f>
        <v/>
      </c>
      <c r="X27">
        <f>HYPERLINK("https://klasma.github.io/Logging_1814/kartor/A 18382-2023 karta.png", "A 18382-2023")</f>
        <v/>
      </c>
      <c r="Y27">
        <f>HYPERLINK("https://klasma.github.io/Logging_1814/kartor_geotiff/A 18382-2023 georefererad karta.tif", "A 18382-2023")</f>
        <v/>
      </c>
      <c r="AA27">
        <f>HYPERLINK("https://klasma.github.io/Logging_1814/klagomål/A 18382-2023 FSC-klagomål.docx", "A 18382-2023")</f>
        <v/>
      </c>
      <c r="AB27">
        <f>HYPERLINK("https://klasma.github.io/Logging_1814/klagomålsmail/A 18382-2023 FSC-klagomål mail.docx", "A 18382-2023")</f>
        <v/>
      </c>
      <c r="AC27">
        <f>HYPERLINK("https://klasma.github.io/Logging_1814/tillsyn/A 18382-2023 tillsynsbegäran.docx", "A 18382-2023")</f>
        <v/>
      </c>
      <c r="AD27">
        <f>HYPERLINK("https://klasma.github.io/Logging_1814/tillsynsmail/A 18382-2023 tillsynsbegäran mail.docx", "A 18382-2023")</f>
        <v/>
      </c>
    </row>
    <row r="28" ht="15" customHeight="1">
      <c r="A28" t="inlineStr">
        <is>
          <t>A 22580-2024</t>
        </is>
      </c>
      <c r="B28" t="inlineStr">
        <is>
          <t>avverkningsanmälan</t>
        </is>
      </c>
      <c r="C28" t="inlineStr">
        <is>
          <t>Föryngringsavverkning</t>
        </is>
      </c>
      <c r="D28" s="1" t="n">
        <v>45447</v>
      </c>
      <c r="E28" s="1" t="n">
        <v>46311</v>
      </c>
      <c r="F28" t="inlineStr">
        <is>
          <t>ÖREBRO LÄN</t>
        </is>
      </c>
      <c r="G28" t="inlineStr">
        <is>
          <t>LEKEBERG</t>
        </is>
      </c>
      <c r="I28" t="n">
        <v>7.3</v>
      </c>
      <c r="J28" t="n">
        <v>1</v>
      </c>
      <c r="K28" t="n">
        <v>0</v>
      </c>
      <c r="L28" t="n">
        <v>0</v>
      </c>
      <c r="M28" t="n">
        <v>0</v>
      </c>
      <c r="N28" t="n">
        <v>0</v>
      </c>
      <c r="O28" t="n">
        <v>0</v>
      </c>
      <c r="P28" t="n">
        <v>0</v>
      </c>
      <c r="Q28" t="n">
        <v>0</v>
      </c>
      <c r="R28" t="n">
        <v>0</v>
      </c>
      <c r="S28" t="n">
        <v>1</v>
      </c>
      <c r="T28" t="n">
        <v>2</v>
      </c>
      <c r="U28" t="n">
        <v>2</v>
      </c>
      <c r="V28" s="2" t="inlineStr">
        <is>
          <t>Spillkråka</t>
        </is>
      </c>
      <c r="W28">
        <f>HYPERLINK("https://klasma.github.io/Logging_1814/artfynd/A 22580-2024 artfynd.xlsx", "A 22580-2024")</f>
        <v/>
      </c>
      <c r="X28">
        <f>HYPERLINK("https://klasma.github.io/Logging_1814/kartor/A 22580-2024 karta.png", "A 22580-2024")</f>
        <v/>
      </c>
      <c r="Y28">
        <f>HYPERLINK("https://klasma.github.io/Logging_1814/kartor_geotiff/A 22580-2024 georefererad karta.tif", "A 22580-2024")</f>
        <v/>
      </c>
      <c r="AA28">
        <f>HYPERLINK("https://klasma.github.io/Logging_1814/klagomål/A 22580-2024 FSC-klagomål.docx", "A 22580-2024")</f>
        <v/>
      </c>
      <c r="AB28">
        <f>HYPERLINK("https://klasma.github.io/Logging_1814/klagomålsmail/A 22580-2024 FSC-klagomål mail.docx", "A 22580-2024")</f>
        <v/>
      </c>
      <c r="AC28">
        <f>HYPERLINK("https://klasma.github.io/Logging_1814/tillsyn/A 22580-2024 tillsynsbegäran.docx", "A 22580-2024")</f>
        <v/>
      </c>
      <c r="AD28">
        <f>HYPERLINK("https://klasma.github.io/Logging_1814/tillsynsmail/A 22580-2024 tillsynsbegäran mail.docx", "A 22580-2024")</f>
        <v/>
      </c>
      <c r="AE28">
        <f>HYPERLINK("https://klasma.github.io/Logging_1814/fåglar/A 22580-2024 prioriterade fågelarter.docx", "A 22580-2024")</f>
        <v/>
      </c>
    </row>
    <row r="29" ht="15" customHeight="1">
      <c r="A29" t="inlineStr">
        <is>
          <t>A 9690-2024</t>
        </is>
      </c>
      <c r="B29" t="inlineStr">
        <is>
          <t>avverkningsanmälan</t>
        </is>
      </c>
      <c r="C29" t="inlineStr">
        <is>
          <t>Föryngringsavverkning</t>
        </is>
      </c>
      <c r="D29" s="1" t="n">
        <v>45362</v>
      </c>
      <c r="E29" s="1" t="n">
        <v>46311</v>
      </c>
      <c r="F29" t="inlineStr">
        <is>
          <t>ÖREBRO LÄN</t>
        </is>
      </c>
      <c r="G29" t="inlineStr">
        <is>
          <t>LEKEBERG</t>
        </is>
      </c>
      <c r="I29" t="n">
        <v>1.8</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9690-2024 artfynd.xlsx", "A 9690-2024")</f>
        <v/>
      </c>
      <c r="X29">
        <f>HYPERLINK("https://klasma.github.io/Logging_1814/kartor/A 9690-2024 karta.png", "A 9690-2024")</f>
        <v/>
      </c>
      <c r="Y29">
        <f>HYPERLINK("https://klasma.github.io/Logging_1814/kartor_geotiff/A 9690-2024 georefererad karta.tif", "A 9690-2024")</f>
        <v/>
      </c>
      <c r="AA29">
        <f>HYPERLINK("https://klasma.github.io/Logging_1814/klagomål/A 9690-2024 FSC-klagomål.docx", "A 9690-2024")</f>
        <v/>
      </c>
      <c r="AB29">
        <f>HYPERLINK("https://klasma.github.io/Logging_1814/klagomålsmail/A 9690-2024 FSC-klagomål mail.docx", "A 9690-2024")</f>
        <v/>
      </c>
      <c r="AC29">
        <f>HYPERLINK("https://klasma.github.io/Logging_1814/tillsyn/A 9690-2024 tillsynsbegäran.docx", "A 9690-2024")</f>
        <v/>
      </c>
      <c r="AD29">
        <f>HYPERLINK("https://klasma.github.io/Logging_1814/tillsynsmail/A 9690-2024 tillsynsbegäran mail.docx", "A 9690-2024")</f>
        <v/>
      </c>
      <c r="AE29">
        <f>HYPERLINK("https://klasma.github.io/Logging_1814/fåglar/A 9690-2024 prioriterade fågelarter.docx", "A 9690-2024")</f>
        <v/>
      </c>
    </row>
    <row r="30" ht="15" customHeight="1">
      <c r="A30" t="inlineStr">
        <is>
          <t>A 290-2025</t>
        </is>
      </c>
      <c r="B30" t="inlineStr">
        <is>
          <t>avverkningsanmälan</t>
        </is>
      </c>
      <c r="C30" t="inlineStr">
        <is>
          <t>Föryngringsavverkning</t>
        </is>
      </c>
      <c r="D30" s="1" t="n">
        <v>45656</v>
      </c>
      <c r="E30" s="1" t="n">
        <v>46311</v>
      </c>
      <c r="F30" t="inlineStr">
        <is>
          <t>ÖREBRO LÄN</t>
        </is>
      </c>
      <c r="G30" t="inlineStr">
        <is>
          <t>LEKEBERG</t>
        </is>
      </c>
      <c r="I30" t="n">
        <v>3.9</v>
      </c>
      <c r="J30" t="n">
        <v>0</v>
      </c>
      <c r="K30" t="n">
        <v>1</v>
      </c>
      <c r="L30" t="n">
        <v>0</v>
      </c>
      <c r="M30" t="n">
        <v>0</v>
      </c>
      <c r="N30" t="n">
        <v>0</v>
      </c>
      <c r="O30" t="n">
        <v>0</v>
      </c>
      <c r="P30" t="n">
        <v>0</v>
      </c>
      <c r="Q30" t="n">
        <v>0</v>
      </c>
      <c r="R30" t="n">
        <v>0</v>
      </c>
      <c r="S30" t="n">
        <v>1</v>
      </c>
      <c r="T30" t="n">
        <v>1</v>
      </c>
      <c r="U30" t="n">
        <v>1</v>
      </c>
      <c r="V30" s="2" t="inlineStr">
        <is>
          <t>Brandticka</t>
        </is>
      </c>
      <c r="W30">
        <f>HYPERLINK("https://klasma.github.io/Logging_1814/artfynd/A 290-2025 artfynd.xlsx", "A 290-2025")</f>
        <v/>
      </c>
      <c r="X30">
        <f>HYPERLINK("https://klasma.github.io/Logging_1814/kartor/A 290-2025 karta.png", "A 290-2025")</f>
        <v/>
      </c>
      <c r="Y30">
        <f>HYPERLINK("https://klasma.github.io/Logging_1814/kartor_geotiff/A 290-2025 georefererad karta.tif", "A 290-2025")</f>
        <v/>
      </c>
      <c r="AA30">
        <f>HYPERLINK("https://klasma.github.io/Logging_1814/klagomål/A 290-2025 FSC-klagomål.docx", "A 290-2025")</f>
        <v/>
      </c>
      <c r="AB30">
        <f>HYPERLINK("https://klasma.github.io/Logging_1814/klagomålsmail/A 290-2025 FSC-klagomål mail.docx", "A 290-2025")</f>
        <v/>
      </c>
      <c r="AC30">
        <f>HYPERLINK("https://klasma.github.io/Logging_1814/tillsyn/A 290-2025 tillsynsbegäran.docx", "A 290-2025")</f>
        <v/>
      </c>
      <c r="AD30">
        <f>HYPERLINK("https://klasma.github.io/Logging_1814/tillsynsmail/A 290-2025 tillsynsbegäran mail.docx", "A 290-2025")</f>
        <v/>
      </c>
    </row>
    <row r="31" ht="15" customHeight="1">
      <c r="A31" t="inlineStr">
        <is>
          <t>A 41241-2024</t>
        </is>
      </c>
      <c r="B31" t="inlineStr">
        <is>
          <t>avverkningsanmälan</t>
        </is>
      </c>
      <c r="C31" t="inlineStr">
        <is>
          <t>Föryngringsavverkning</t>
        </is>
      </c>
      <c r="D31" s="1" t="n">
        <v>45559</v>
      </c>
      <c r="E31" s="1" t="n">
        <v>46311</v>
      </c>
      <c r="F31" t="inlineStr">
        <is>
          <t>ÖREBRO LÄN</t>
        </is>
      </c>
      <c r="G31" t="inlineStr">
        <is>
          <t>LEKEBERG</t>
        </is>
      </c>
      <c r="I31" t="n">
        <v>3</v>
      </c>
      <c r="J31" t="n">
        <v>0</v>
      </c>
      <c r="K31" t="n">
        <v>0</v>
      </c>
      <c r="L31" t="n">
        <v>1</v>
      </c>
      <c r="M31" t="n">
        <v>0</v>
      </c>
      <c r="N31" t="n">
        <v>0</v>
      </c>
      <c r="O31" t="n">
        <v>0</v>
      </c>
      <c r="P31" t="n">
        <v>0</v>
      </c>
      <c r="Q31" t="n">
        <v>1</v>
      </c>
      <c r="R31" t="n">
        <v>0</v>
      </c>
      <c r="S31" t="n">
        <v>1</v>
      </c>
      <c r="T31" t="n">
        <v>1</v>
      </c>
      <c r="U31" t="n">
        <v>0</v>
      </c>
      <c r="V31" s="2" t="inlineStr">
        <is>
          <t>Rökfingersvamp</t>
        </is>
      </c>
      <c r="W31">
        <f>HYPERLINK("https://klasma.github.io/Logging_1814/artfynd/A 41241-2024 artfynd.xlsx", "A 41241-2024")</f>
        <v/>
      </c>
      <c r="X31">
        <f>HYPERLINK("https://klasma.github.io/Logging_1814/kartor/A 41241-2024 karta.png", "A 41241-2024")</f>
        <v/>
      </c>
      <c r="Y31">
        <f>HYPERLINK("https://klasma.github.io/Logging_1814/kartor_geotiff/A 41241-2024 georefererad karta.tif", "A 41241-2024")</f>
        <v/>
      </c>
      <c r="AA31">
        <f>HYPERLINK("https://klasma.github.io/Logging_1814/klagomål/A 41241-2024 FSC-klagomål.docx", "A 41241-2024")</f>
        <v/>
      </c>
      <c r="AB31">
        <f>HYPERLINK("https://klasma.github.io/Logging_1814/klagomålsmail/A 41241-2024 FSC-klagomål mail.docx", "A 41241-2024")</f>
        <v/>
      </c>
      <c r="AC31">
        <f>HYPERLINK("https://klasma.github.io/Logging_1814/tillsyn/A 41241-2024 tillsynsbegäran.docx", "A 41241-2024")</f>
        <v/>
      </c>
      <c r="AD31">
        <f>HYPERLINK("https://klasma.github.io/Logging_1814/tillsynsmail/A 41241-2024 tillsynsbegäran mail.docx", "A 41241-2024")</f>
        <v/>
      </c>
    </row>
    <row r="32" ht="15" customHeight="1">
      <c r="A32" t="inlineStr">
        <is>
          <t>A 12550-2026</t>
        </is>
      </c>
      <c r="B32" t="inlineStr">
        <is>
          <t>avverkningsanmälan</t>
        </is>
      </c>
      <c r="C32" t="inlineStr">
        <is>
          <t>Föryngringsavverkning</t>
        </is>
      </c>
      <c r="D32" s="1" t="n">
        <v>46090</v>
      </c>
      <c r="E32" s="1" t="n">
        <v>46311</v>
      </c>
      <c r="F32" t="inlineStr">
        <is>
          <t>ÖREBRO LÄN</t>
        </is>
      </c>
      <c r="G32" t="inlineStr">
        <is>
          <t>LEKEBERG</t>
        </is>
      </c>
      <c r="H32" t="inlineStr">
        <is>
          <t>Sveaskog</t>
        </is>
      </c>
      <c r="I32" t="n">
        <v>3.3</v>
      </c>
      <c r="J32" t="n">
        <v>1</v>
      </c>
      <c r="K32" t="n">
        <v>0</v>
      </c>
      <c r="L32" t="n">
        <v>0</v>
      </c>
      <c r="M32" t="n">
        <v>0</v>
      </c>
      <c r="N32" t="n">
        <v>0</v>
      </c>
      <c r="O32" t="n">
        <v>0</v>
      </c>
      <c r="P32" t="n">
        <v>0</v>
      </c>
      <c r="Q32" t="n">
        <v>0</v>
      </c>
      <c r="R32" t="n">
        <v>0</v>
      </c>
      <c r="S32" t="n">
        <v>1</v>
      </c>
      <c r="T32" t="n">
        <v>1</v>
      </c>
      <c r="U32" t="n">
        <v>1</v>
      </c>
      <c r="V32" s="2" t="inlineStr">
        <is>
          <t>Blåsippa</t>
        </is>
      </c>
      <c r="W32">
        <f>HYPERLINK("https://klasma.github.io/Logging_1814/artfynd/A 12550-2026 artfynd.xlsx", "A 12550-2026")</f>
        <v/>
      </c>
      <c r="X32">
        <f>HYPERLINK("https://klasma.github.io/Logging_1814/kartor/A 12550-2026 karta.png", "A 12550-2026")</f>
        <v/>
      </c>
      <c r="Y32">
        <f>HYPERLINK("https://klasma.github.io/Logging_1814/kartor_geotiff/A 12550-2026 georefererad karta.tif", "A 12550-2026")</f>
        <v/>
      </c>
      <c r="AA32">
        <f>HYPERLINK("https://klasma.github.io/Logging_1814/klagomål/A 12550-2026 FSC-klagomål.docx", "A 12550-2026")</f>
        <v/>
      </c>
      <c r="AB32">
        <f>HYPERLINK("https://klasma.github.io/Logging_1814/klagomålsmail/A 12550-2026 FSC-klagomål mail.docx", "A 12550-2026")</f>
        <v/>
      </c>
      <c r="AC32">
        <f>HYPERLINK("https://klasma.github.io/Logging_1814/tillsyn/A 12550-2026 tillsynsbegäran.docx", "A 12550-2026")</f>
        <v/>
      </c>
      <c r="AD32">
        <f>HYPERLINK("https://klasma.github.io/Logging_1814/tillsynsmail/A 12550-2026 tillsynsbegäran mail.docx", "A 12550-2026")</f>
        <v/>
      </c>
    </row>
    <row r="33" ht="15" customHeight="1">
      <c r="A33" t="inlineStr">
        <is>
          <t>A 12557-2026</t>
        </is>
      </c>
      <c r="B33" t="inlineStr">
        <is>
          <t>avverkningsanmälan</t>
        </is>
      </c>
      <c r="C33" t="inlineStr">
        <is>
          <t>Föryngringsavverkning</t>
        </is>
      </c>
      <c r="D33" s="1" t="n">
        <v>46090</v>
      </c>
      <c r="E33" s="1" t="n">
        <v>46311</v>
      </c>
      <c r="F33" t="inlineStr">
        <is>
          <t>ÖREBRO LÄN</t>
        </is>
      </c>
      <c r="G33" t="inlineStr">
        <is>
          <t>LEKEBERG</t>
        </is>
      </c>
      <c r="H33" t="inlineStr">
        <is>
          <t>Sveaskog</t>
        </is>
      </c>
      <c r="I33" t="n">
        <v>2.2</v>
      </c>
      <c r="J33" t="n">
        <v>0</v>
      </c>
      <c r="K33" t="n">
        <v>1</v>
      </c>
      <c r="L33" t="n">
        <v>0</v>
      </c>
      <c r="M33" t="n">
        <v>0</v>
      </c>
      <c r="N33" t="n">
        <v>0</v>
      </c>
      <c r="O33" t="n">
        <v>0</v>
      </c>
      <c r="P33" t="n">
        <v>0</v>
      </c>
      <c r="Q33" t="n">
        <v>0</v>
      </c>
      <c r="R33" t="n">
        <v>0</v>
      </c>
      <c r="S33" t="n">
        <v>1</v>
      </c>
      <c r="T33" t="n">
        <v>1</v>
      </c>
      <c r="U33" t="n">
        <v>0</v>
      </c>
      <c r="V33" s="2" t="inlineStr">
        <is>
          <t>Barkticka</t>
        </is>
      </c>
      <c r="W33">
        <f>HYPERLINK("https://klasma.github.io/Logging_1814/artfynd/A 12557-2026 artfynd.xlsx", "A 12557-2026")</f>
        <v/>
      </c>
      <c r="X33">
        <f>HYPERLINK("https://klasma.github.io/Logging_1814/kartor/A 12557-2026 karta.png", "A 12557-2026")</f>
        <v/>
      </c>
      <c r="Y33">
        <f>HYPERLINK("https://klasma.github.io/Logging_1814/kartor_geotiff/A 12557-2026 georefererad karta.tif", "A 12557-2026")</f>
        <v/>
      </c>
      <c r="AA33">
        <f>HYPERLINK("https://klasma.github.io/Logging_1814/klagomål/A 12557-2026 FSC-klagomål.docx", "A 12557-2026")</f>
        <v/>
      </c>
      <c r="AB33">
        <f>HYPERLINK("https://klasma.github.io/Logging_1814/klagomålsmail/A 12557-2026 FSC-klagomål mail.docx", "A 12557-2026")</f>
        <v/>
      </c>
      <c r="AC33">
        <f>HYPERLINK("https://klasma.github.io/Logging_1814/tillsyn/A 12557-2026 tillsynsbegäran.docx", "A 12557-2026")</f>
        <v/>
      </c>
      <c r="AD33">
        <f>HYPERLINK("https://klasma.github.io/Logging_1814/tillsynsmail/A 12557-2026 tillsynsbegäran mail.docx", "A 12557-2026")</f>
        <v/>
      </c>
    </row>
    <row r="34" ht="15" customHeight="1">
      <c r="A34" t="inlineStr">
        <is>
          <t>S 261-2026</t>
        </is>
      </c>
      <c r="B34" t="inlineStr">
        <is>
          <t>samrådsanmälan</t>
        </is>
      </c>
      <c r="C34" t="inlineStr">
        <is>
          <t>Annan skogsbruksåtgärd</t>
        </is>
      </c>
      <c r="D34" s="1" t="n">
        <v>46052</v>
      </c>
      <c r="E34" s="1" t="n">
        <v>46311</v>
      </c>
      <c r="F34" t="inlineStr">
        <is>
          <t>ÖREBRO LÄN</t>
        </is>
      </c>
      <c r="G34" t="inlineStr">
        <is>
          <t>LEKEBERG</t>
        </is>
      </c>
      <c r="I34" t="n">
        <v>0.1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HYPERLINK("https://klasma.github.io/Logging_1814/artfynd/S 261-2026 artfynd.xlsx", "S 261-2026")</f>
        <v/>
      </c>
      <c r="X34">
        <f>HYPERLINK("https://klasma.github.io/Logging_1814/kartor/S 261-2026 karta.png", "S 261-2026")</f>
        <v/>
      </c>
      <c r="Y34">
        <f>HYPERLINK("https://klasma.github.io/Logging_1814/kartor_geotiff/S 261-2026 georefererad karta.tif", "S 261-2026")</f>
        <v/>
      </c>
      <c r="AA34">
        <f>HYPERLINK("https://klasma.github.io/Logging_1814/klagomål/S 261-2026 FSC-klagomål.docx", "S 261-2026")</f>
        <v/>
      </c>
      <c r="AB34">
        <f>HYPERLINK("https://klasma.github.io/Logging_1814/klagomålsmail/S 261-2026 FSC-klagomål mail.docx", "S 261-2026")</f>
        <v/>
      </c>
      <c r="AC34">
        <f>HYPERLINK("https://klasma.github.io/Logging_1814/tillsyn/S 261-2026 tillsynsbegäran.docx", "S 261-2026")</f>
        <v/>
      </c>
      <c r="AD34">
        <f>HYPERLINK("https://klasma.github.io/Logging_1814/tillsynsmail/S 261-2026 tillsynsbegäran mail.docx", "S 261-2026")</f>
        <v/>
      </c>
    </row>
    <row r="35" ht="15" customHeight="1">
      <c r="A35" t="inlineStr">
        <is>
          <t>S 260-2026</t>
        </is>
      </c>
      <c r="B35" t="inlineStr">
        <is>
          <t>samrådsanmälan</t>
        </is>
      </c>
      <c r="C35" t="inlineStr">
        <is>
          <t>Annan skogsbruksåtgärd</t>
        </is>
      </c>
      <c r="D35" s="1" t="n">
        <v>46052</v>
      </c>
      <c r="E35" s="1" t="n">
        <v>46311</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260-2026 artfynd.xlsx", "S 260-2026")</f>
        <v/>
      </c>
      <c r="X35">
        <f>HYPERLINK("https://klasma.github.io/Logging_1814/kartor/S 260-2026 karta.png", "S 260-2026")</f>
        <v/>
      </c>
      <c r="Y35">
        <f>HYPERLINK("https://klasma.github.io/Logging_1814/kartor_geotiff/S 260-2026 georefererad karta.tif", "S 260-2026")</f>
        <v/>
      </c>
      <c r="AA35">
        <f>HYPERLINK("https://klasma.github.io/Logging_1814/klagomål/S 260-2026 FSC-klagomål.docx", "S 260-2026")</f>
        <v/>
      </c>
      <c r="AB35">
        <f>HYPERLINK("https://klasma.github.io/Logging_1814/klagomålsmail/S 260-2026 FSC-klagomål mail.docx", "S 260-2026")</f>
        <v/>
      </c>
      <c r="AC35">
        <f>HYPERLINK("https://klasma.github.io/Logging_1814/tillsyn/S 260-2026 tillsynsbegäran.docx", "S 260-2026")</f>
        <v/>
      </c>
      <c r="AD35">
        <f>HYPERLINK("https://klasma.github.io/Logging_1814/tillsynsmail/S 260-2026 tillsynsbegäran mail.docx", "S 260-2026")</f>
        <v/>
      </c>
    </row>
    <row r="36" ht="15" customHeight="1">
      <c r="A36" t="inlineStr">
        <is>
          <t>A 6468-2022</t>
        </is>
      </c>
      <c r="B36" t="inlineStr">
        <is>
          <t>avverkningsanmälan</t>
        </is>
      </c>
      <c r="C36" t="inlineStr">
        <is>
          <t>Föryngringsavverkning</t>
        </is>
      </c>
      <c r="D36" s="1" t="n">
        <v>44601</v>
      </c>
      <c r="E36" s="1" t="n">
        <v>46311</v>
      </c>
      <c r="F36" t="inlineStr">
        <is>
          <t>ÖREBRO LÄN</t>
        </is>
      </c>
      <c r="G36" t="inlineStr">
        <is>
          <t>LEKEBERG</t>
        </is>
      </c>
      <c r="I36" t="n">
        <v>3.2</v>
      </c>
      <c r="J36" t="n">
        <v>0</v>
      </c>
      <c r="K36" t="n">
        <v>0</v>
      </c>
      <c r="L36" t="n">
        <v>0</v>
      </c>
      <c r="M36" t="n">
        <v>0</v>
      </c>
      <c r="N36" t="n">
        <v>0</v>
      </c>
      <c r="O36" t="n">
        <v>0</v>
      </c>
      <c r="P36" t="n">
        <v>0</v>
      </c>
      <c r="Q36" t="n">
        <v>0</v>
      </c>
      <c r="R36" t="n">
        <v>0</v>
      </c>
      <c r="S36" t="n">
        <v>0</v>
      </c>
      <c r="T36" t="n">
        <v>0</v>
      </c>
      <c r="U36" t="n">
        <v>0</v>
      </c>
      <c r="V36" s="2" t="inlineStr"/>
    </row>
    <row r="37" ht="15" customHeight="1">
      <c r="A37" t="inlineStr">
        <is>
          <t>A 14830-2022</t>
        </is>
      </c>
      <c r="B37" t="inlineStr">
        <is>
          <t>avverkningsanmälan</t>
        </is>
      </c>
      <c r="C37" t="inlineStr">
        <is>
          <t>Föryngringsavverkning</t>
        </is>
      </c>
      <c r="D37" s="1" t="n">
        <v>44656</v>
      </c>
      <c r="E37" s="1" t="n">
        <v>46311</v>
      </c>
      <c r="F37" t="inlineStr">
        <is>
          <t>ÖREBRO LÄN</t>
        </is>
      </c>
      <c r="G37" t="inlineStr">
        <is>
          <t>LEKEBERG</t>
        </is>
      </c>
      <c r="I37" t="n">
        <v>2.2</v>
      </c>
      <c r="J37" t="n">
        <v>0</v>
      </c>
      <c r="K37" t="n">
        <v>0</v>
      </c>
      <c r="L37" t="n">
        <v>0</v>
      </c>
      <c r="M37" t="n">
        <v>0</v>
      </c>
      <c r="N37" t="n">
        <v>0</v>
      </c>
      <c r="O37" t="n">
        <v>0</v>
      </c>
      <c r="P37" t="n">
        <v>0</v>
      </c>
      <c r="Q37" t="n">
        <v>0</v>
      </c>
      <c r="R37" t="n">
        <v>0</v>
      </c>
      <c r="S37" t="n">
        <v>0</v>
      </c>
      <c r="T37" t="n">
        <v>0</v>
      </c>
      <c r="U37" t="n">
        <v>0</v>
      </c>
      <c r="V37" s="2" t="inlineStr"/>
    </row>
    <row r="38" ht="15" customHeight="1">
      <c r="A38" t="inlineStr">
        <is>
          <t>A 23751-2022</t>
        </is>
      </c>
      <c r="B38" t="inlineStr">
        <is>
          <t>avverkningsanmälan</t>
        </is>
      </c>
      <c r="C38" t="inlineStr">
        <is>
          <t>Föryngringsavverkning</t>
        </is>
      </c>
      <c r="D38" s="1" t="n">
        <v>44722</v>
      </c>
      <c r="E38" s="1" t="n">
        <v>46311</v>
      </c>
      <c r="F38" t="inlineStr">
        <is>
          <t>ÖREBRO LÄN</t>
        </is>
      </c>
      <c r="G38" t="inlineStr">
        <is>
          <t>LEKEBERG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64156-2021</t>
        </is>
      </c>
      <c r="B39" t="inlineStr">
        <is>
          <t>avverkningsanmälan</t>
        </is>
      </c>
      <c r="C39" t="inlineStr">
        <is>
          <t>Avverkning för att bevara och utveckla /försöksver</t>
        </is>
      </c>
      <c r="D39" s="1" t="n">
        <v>44510</v>
      </c>
      <c r="E39" s="1" t="n">
        <v>46311</v>
      </c>
      <c r="F39" t="inlineStr">
        <is>
          <t>ÖREBRO LÄN</t>
        </is>
      </c>
      <c r="G39" t="inlineStr">
        <is>
          <t>LEKEBERG</t>
        </is>
      </c>
      <c r="H39" t="inlineStr">
        <is>
          <t>Sveaskog</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66778-2021</t>
        </is>
      </c>
      <c r="B40" t="inlineStr">
        <is>
          <t>avverkningsanmälan</t>
        </is>
      </c>
      <c r="C40" t="inlineStr">
        <is>
          <t>Föryngringsavverkning</t>
        </is>
      </c>
      <c r="D40" s="1" t="n">
        <v>44519</v>
      </c>
      <c r="E40" s="1" t="n">
        <v>46311</v>
      </c>
      <c r="F40" t="inlineStr">
        <is>
          <t>ÖREBRO LÄN</t>
        </is>
      </c>
      <c r="G40" t="inlineStr">
        <is>
          <t>LEKEBERG</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41967-2022</t>
        </is>
      </c>
      <c r="B41" t="inlineStr">
        <is>
          <t>avverkningsanmälan</t>
        </is>
      </c>
      <c r="C41" t="inlineStr">
        <is>
          <t>Föryngringsavverkning</t>
        </is>
      </c>
      <c r="D41" s="1" t="n">
        <v>44830</v>
      </c>
      <c r="E41" s="1" t="n">
        <v>46311</v>
      </c>
      <c r="F41" t="inlineStr">
        <is>
          <t>ÖREBRO LÄN</t>
        </is>
      </c>
      <c r="G41" t="inlineStr">
        <is>
          <t>LEKEBERG</t>
        </is>
      </c>
      <c r="H41" t="inlineStr">
        <is>
          <t>Sveaskog</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46311</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2851-2022</t>
        </is>
      </c>
      <c r="B43" t="inlineStr">
        <is>
          <t>avverkningsanmälan</t>
        </is>
      </c>
      <c r="C43" t="inlineStr">
        <is>
          <t>Föryngringsavverkning</t>
        </is>
      </c>
      <c r="D43" s="1" t="n">
        <v>44581</v>
      </c>
      <c r="E43" s="1" t="n">
        <v>46311</v>
      </c>
      <c r="F43" t="inlineStr">
        <is>
          <t>ÖREBRO LÄN</t>
        </is>
      </c>
      <c r="G43" t="inlineStr">
        <is>
          <t>LEKEBERG</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26052-2022</t>
        </is>
      </c>
      <c r="B44" t="inlineStr">
        <is>
          <t>avverkningsanmälan</t>
        </is>
      </c>
      <c r="C44" t="inlineStr">
        <is>
          <t>Föryngringsavverkning</t>
        </is>
      </c>
      <c r="D44" s="1" t="n">
        <v>44734</v>
      </c>
      <c r="E44" s="1" t="n">
        <v>46311</v>
      </c>
      <c r="F44" t="inlineStr">
        <is>
          <t>ÖREBRO LÄN</t>
        </is>
      </c>
      <c r="G44" t="inlineStr">
        <is>
          <t>LEKEBERG</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8047-2022</t>
        </is>
      </c>
      <c r="B45" t="inlineStr">
        <is>
          <t>avverkningsanmälan</t>
        </is>
      </c>
      <c r="C45" t="inlineStr">
        <is>
          <t>Föryngringsavverkning</t>
        </is>
      </c>
      <c r="D45" s="1" t="n">
        <v>44609</v>
      </c>
      <c r="E45" s="1" t="n">
        <v>46311</v>
      </c>
      <c r="F45" t="inlineStr">
        <is>
          <t>ÖREBRO LÄN</t>
        </is>
      </c>
      <c r="G45" t="inlineStr">
        <is>
          <t>LEKEBERG</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41977-2022</t>
        </is>
      </c>
      <c r="B46" t="inlineStr">
        <is>
          <t>avverkningsanmälan</t>
        </is>
      </c>
      <c r="C46" t="inlineStr">
        <is>
          <t>Föryngringsavverkning</t>
        </is>
      </c>
      <c r="D46" s="1" t="n">
        <v>44830</v>
      </c>
      <c r="E46" s="1" t="n">
        <v>46311</v>
      </c>
      <c r="F46" t="inlineStr">
        <is>
          <t>ÖREBRO LÄN</t>
        </is>
      </c>
      <c r="G46" t="inlineStr">
        <is>
          <t>LEKEBERG</t>
        </is>
      </c>
      <c r="H46" t="inlineStr">
        <is>
          <t>Sveaskog</t>
        </is>
      </c>
      <c r="I46" t="n">
        <v>0.9</v>
      </c>
      <c r="J46" t="n">
        <v>0</v>
      </c>
      <c r="K46" t="n">
        <v>0</v>
      </c>
      <c r="L46" t="n">
        <v>0</v>
      </c>
      <c r="M46" t="n">
        <v>0</v>
      </c>
      <c r="N46" t="n">
        <v>0</v>
      </c>
      <c r="O46" t="n">
        <v>0</v>
      </c>
      <c r="P46" t="n">
        <v>0</v>
      </c>
      <c r="Q46" t="n">
        <v>0</v>
      </c>
      <c r="R46" t="n">
        <v>0</v>
      </c>
      <c r="S46" t="n">
        <v>0</v>
      </c>
      <c r="T46" t="n">
        <v>0</v>
      </c>
      <c r="U46" t="n">
        <v>0</v>
      </c>
      <c r="V46" s="2" t="inlineStr"/>
    </row>
    <row r="47" ht="15" customHeight="1">
      <c r="A47" t="inlineStr">
        <is>
          <t>A 11661-2022</t>
        </is>
      </c>
      <c r="B47" t="inlineStr">
        <is>
          <t>avverkningsanmälan</t>
        </is>
      </c>
      <c r="C47" t="inlineStr">
        <is>
          <t>Föryngringsavverkning</t>
        </is>
      </c>
      <c r="D47" s="1" t="n">
        <v>44632</v>
      </c>
      <c r="E47" s="1" t="n">
        <v>46311</v>
      </c>
      <c r="F47" t="inlineStr">
        <is>
          <t>ÖREBRO LÄN</t>
        </is>
      </c>
      <c r="G47" t="inlineStr">
        <is>
          <t>LEKEBERG</t>
        </is>
      </c>
      <c r="I47" t="n">
        <v>0.8</v>
      </c>
      <c r="J47" t="n">
        <v>0</v>
      </c>
      <c r="K47" t="n">
        <v>0</v>
      </c>
      <c r="L47" t="n">
        <v>0</v>
      </c>
      <c r="M47" t="n">
        <v>0</v>
      </c>
      <c r="N47" t="n">
        <v>0</v>
      </c>
      <c r="O47" t="n">
        <v>0</v>
      </c>
      <c r="P47" t="n">
        <v>0</v>
      </c>
      <c r="Q47" t="n">
        <v>0</v>
      </c>
      <c r="R47" t="n">
        <v>0</v>
      </c>
      <c r="S47" t="n">
        <v>0</v>
      </c>
      <c r="T47" t="n">
        <v>0</v>
      </c>
      <c r="U47" t="n">
        <v>0</v>
      </c>
      <c r="V47" s="2" t="inlineStr"/>
    </row>
    <row r="48" ht="15" customHeight="1">
      <c r="A48" t="inlineStr">
        <is>
          <t>A 58380-2021</t>
        </is>
      </c>
      <c r="B48" t="inlineStr">
        <is>
          <t>avverkningsanmälan</t>
        </is>
      </c>
      <c r="C48" t="inlineStr">
        <is>
          <t>Föryngringsavverkning</t>
        </is>
      </c>
      <c r="D48" s="1" t="n">
        <v>44488</v>
      </c>
      <c r="E48" s="1" t="n">
        <v>46311</v>
      </c>
      <c r="F48" t="inlineStr">
        <is>
          <t>ÖREBRO LÄN</t>
        </is>
      </c>
      <c r="G48" t="inlineStr">
        <is>
          <t>LEKEBERG</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46311</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46311</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46311</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46311</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46311</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62841-2023</t>
        </is>
      </c>
      <c r="B54" t="inlineStr">
        <is>
          <t>avverkningsanmälan</t>
        </is>
      </c>
      <c r="C54" t="inlineStr">
        <is>
          <t>Föryngringsavverkning</t>
        </is>
      </c>
      <c r="D54" s="1" t="n">
        <v>45270</v>
      </c>
      <c r="E54" s="1" t="n">
        <v>46311</v>
      </c>
      <c r="F54" t="inlineStr">
        <is>
          <t>ÖREBRO LÄN</t>
        </is>
      </c>
      <c r="G54" t="inlineStr">
        <is>
          <t>LEKEBERG</t>
        </is>
      </c>
      <c r="I54" t="n">
        <v>3.3</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46311</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29444-2024</t>
        </is>
      </c>
      <c r="B56" t="inlineStr">
        <is>
          <t>avverkningsanmälan</t>
        </is>
      </c>
      <c r="C56" t="inlineStr">
        <is>
          <t>Föryngringsavverkning</t>
        </is>
      </c>
      <c r="D56" s="1" t="n">
        <v>45483</v>
      </c>
      <c r="E56" s="1" t="n">
        <v>46311</v>
      </c>
      <c r="F56" t="inlineStr">
        <is>
          <t>ÖREBRO LÄN</t>
        </is>
      </c>
      <c r="G56" t="inlineStr">
        <is>
          <t>LEKEBERG</t>
        </is>
      </c>
      <c r="I56" t="n">
        <v>4</v>
      </c>
      <c r="J56" t="n">
        <v>0</v>
      </c>
      <c r="K56" t="n">
        <v>0</v>
      </c>
      <c r="L56" t="n">
        <v>0</v>
      </c>
      <c r="M56" t="n">
        <v>0</v>
      </c>
      <c r="N56" t="n">
        <v>0</v>
      </c>
      <c r="O56" t="n">
        <v>0</v>
      </c>
      <c r="P56" t="n">
        <v>0</v>
      </c>
      <c r="Q56" t="n">
        <v>0</v>
      </c>
      <c r="R56" t="n">
        <v>0</v>
      </c>
      <c r="S56" t="n">
        <v>0</v>
      </c>
      <c r="T56" t="n">
        <v>0</v>
      </c>
      <c r="U56" t="n">
        <v>0</v>
      </c>
      <c r="V56" s="2" t="inlineStr"/>
    </row>
    <row r="57" ht="15" customHeight="1">
      <c r="A57" t="inlineStr">
        <is>
          <t>A 37042-2024</t>
        </is>
      </c>
      <c r="B57" t="inlineStr">
        <is>
          <t>avverkningsanmälan</t>
        </is>
      </c>
      <c r="C57" t="inlineStr">
        <is>
          <t>Föryngringsavverkning</t>
        </is>
      </c>
      <c r="D57" s="1" t="n">
        <v>45539</v>
      </c>
      <c r="E57" s="1" t="n">
        <v>46311</v>
      </c>
      <c r="F57" t="inlineStr">
        <is>
          <t>ÖREBRO LÄN</t>
        </is>
      </c>
      <c r="G57" t="inlineStr">
        <is>
          <t>LEKEBERG</t>
        </is>
      </c>
      <c r="I57" t="n">
        <v>2.4</v>
      </c>
      <c r="J57" t="n">
        <v>0</v>
      </c>
      <c r="K57" t="n">
        <v>0</v>
      </c>
      <c r="L57" t="n">
        <v>0</v>
      </c>
      <c r="M57" t="n">
        <v>0</v>
      </c>
      <c r="N57" t="n">
        <v>0</v>
      </c>
      <c r="O57" t="n">
        <v>0</v>
      </c>
      <c r="P57" t="n">
        <v>0</v>
      </c>
      <c r="Q57" t="n">
        <v>0</v>
      </c>
      <c r="R57" t="n">
        <v>0</v>
      </c>
      <c r="S57" t="n">
        <v>0</v>
      </c>
      <c r="T57" t="n">
        <v>0</v>
      </c>
      <c r="U57" t="n">
        <v>0</v>
      </c>
      <c r="V57" s="2" t="inlineStr"/>
    </row>
    <row r="58" ht="15" customHeight="1">
      <c r="A58" t="inlineStr">
        <is>
          <t>A 26863-2025</t>
        </is>
      </c>
      <c r="B58" t="inlineStr">
        <is>
          <t>avverkningsanmälan</t>
        </is>
      </c>
      <c r="C58" t="inlineStr">
        <is>
          <t>Föryngringsavverkning</t>
        </is>
      </c>
      <c r="D58" s="1" t="n">
        <v>45810</v>
      </c>
      <c r="E58" s="1" t="n">
        <v>46311</v>
      </c>
      <c r="F58" t="inlineStr">
        <is>
          <t>ÖREBRO LÄN</t>
        </is>
      </c>
      <c r="G58" t="inlineStr">
        <is>
          <t>LEKEBERG</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44343-2022</t>
        </is>
      </c>
      <c r="B59" t="inlineStr">
        <is>
          <t>avverkningsanmälan</t>
        </is>
      </c>
      <c r="C59" t="inlineStr">
        <is>
          <t>Föryngringsavverkning</t>
        </is>
      </c>
      <c r="D59" s="1" t="n">
        <v>44839</v>
      </c>
      <c r="E59" s="1" t="n">
        <v>46311</v>
      </c>
      <c r="F59" t="inlineStr">
        <is>
          <t>ÖREBRO LÄN</t>
        </is>
      </c>
      <c r="G59" t="inlineStr">
        <is>
          <t>LEKEBERG</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39872-2024</t>
        </is>
      </c>
      <c r="B60" t="inlineStr">
        <is>
          <t>avverkningsanmälan</t>
        </is>
      </c>
      <c r="C60" t="inlineStr">
        <is>
          <t>Föryngringsavverkning</t>
        </is>
      </c>
      <c r="D60" s="1" t="n">
        <v>45553</v>
      </c>
      <c r="E60" s="1" t="n">
        <v>46311</v>
      </c>
      <c r="F60" t="inlineStr">
        <is>
          <t>ÖREBRO LÄN</t>
        </is>
      </c>
      <c r="G60" t="inlineStr">
        <is>
          <t>LEKEBERG</t>
        </is>
      </c>
      <c r="H60" t="inlineStr">
        <is>
          <t>Sveaskog</t>
        </is>
      </c>
      <c r="I60" t="n">
        <v>1.7</v>
      </c>
      <c r="J60" t="n">
        <v>0</v>
      </c>
      <c r="K60" t="n">
        <v>0</v>
      </c>
      <c r="L60" t="n">
        <v>0</v>
      </c>
      <c r="M60" t="n">
        <v>0</v>
      </c>
      <c r="N60" t="n">
        <v>0</v>
      </c>
      <c r="O60" t="n">
        <v>0</v>
      </c>
      <c r="P60" t="n">
        <v>0</v>
      </c>
      <c r="Q60" t="n">
        <v>0</v>
      </c>
      <c r="R60" t="n">
        <v>0</v>
      </c>
      <c r="S60" t="n">
        <v>0</v>
      </c>
      <c r="T60" t="n">
        <v>0</v>
      </c>
      <c r="U60" t="n">
        <v>0</v>
      </c>
      <c r="V60" s="2" t="inlineStr"/>
    </row>
    <row r="61" ht="15" customHeight="1">
      <c r="A61" t="inlineStr">
        <is>
          <t>A 39867-2024</t>
        </is>
      </c>
      <c r="B61" t="inlineStr">
        <is>
          <t>avverkningsanmälan</t>
        </is>
      </c>
      <c r="C61" t="inlineStr">
        <is>
          <t>Föryngringsavverkning</t>
        </is>
      </c>
      <c r="D61" s="1" t="n">
        <v>45553</v>
      </c>
      <c r="E61" s="1" t="n">
        <v>46311</v>
      </c>
      <c r="F61" t="inlineStr">
        <is>
          <t>ÖREBRO LÄN</t>
        </is>
      </c>
      <c r="G61" t="inlineStr">
        <is>
          <t>LEKEBERG</t>
        </is>
      </c>
      <c r="H61" t="inlineStr">
        <is>
          <t>Sveaskog</t>
        </is>
      </c>
      <c r="I61" t="n">
        <v>4.6</v>
      </c>
      <c r="J61" t="n">
        <v>0</v>
      </c>
      <c r="K61" t="n">
        <v>0</v>
      </c>
      <c r="L61" t="n">
        <v>0</v>
      </c>
      <c r="M61" t="n">
        <v>0</v>
      </c>
      <c r="N61" t="n">
        <v>0</v>
      </c>
      <c r="O61" t="n">
        <v>0</v>
      </c>
      <c r="P61" t="n">
        <v>0</v>
      </c>
      <c r="Q61" t="n">
        <v>0</v>
      </c>
      <c r="R61" t="n">
        <v>0</v>
      </c>
      <c r="S61" t="n">
        <v>0</v>
      </c>
      <c r="T61" t="n">
        <v>0</v>
      </c>
      <c r="U61" t="n">
        <v>0</v>
      </c>
      <c r="V61" s="2" t="inlineStr"/>
    </row>
    <row r="62" ht="15" customHeight="1">
      <c r="A62" t="inlineStr">
        <is>
          <t>A 26702-2023</t>
        </is>
      </c>
      <c r="B62" t="inlineStr">
        <is>
          <t>avverkningsanmälan</t>
        </is>
      </c>
      <c r="C62" t="inlineStr">
        <is>
          <t>Föryngringsavverkning</t>
        </is>
      </c>
      <c r="D62" s="1" t="n">
        <v>45093</v>
      </c>
      <c r="E62" s="1" t="n">
        <v>46311</v>
      </c>
      <c r="F62" t="inlineStr">
        <is>
          <t>ÖREBRO LÄN</t>
        </is>
      </c>
      <c r="G62" t="inlineStr">
        <is>
          <t>LEKEBERG</t>
        </is>
      </c>
      <c r="I62" t="n">
        <v>2.5</v>
      </c>
      <c r="J62" t="n">
        <v>0</v>
      </c>
      <c r="K62" t="n">
        <v>0</v>
      </c>
      <c r="L62" t="n">
        <v>0</v>
      </c>
      <c r="M62" t="n">
        <v>0</v>
      </c>
      <c r="N62" t="n">
        <v>0</v>
      </c>
      <c r="O62" t="n">
        <v>0</v>
      </c>
      <c r="P62" t="n">
        <v>0</v>
      </c>
      <c r="Q62" t="n">
        <v>0</v>
      </c>
      <c r="R62" t="n">
        <v>0</v>
      </c>
      <c r="S62" t="n">
        <v>0</v>
      </c>
      <c r="T62" t="n">
        <v>0</v>
      </c>
      <c r="U62" t="n">
        <v>0</v>
      </c>
      <c r="V62" s="2" t="inlineStr"/>
    </row>
    <row r="63" ht="15" customHeight="1">
      <c r="A63" t="inlineStr">
        <is>
          <t>A 11676-2024</t>
        </is>
      </c>
      <c r="B63" t="inlineStr">
        <is>
          <t>avverkningsanmälan</t>
        </is>
      </c>
      <c r="C63" t="inlineStr">
        <is>
          <t>Föryngringsavverkning</t>
        </is>
      </c>
      <c r="D63" s="1" t="n">
        <v>45373</v>
      </c>
      <c r="E63" s="1" t="n">
        <v>46311</v>
      </c>
      <c r="F63" t="inlineStr">
        <is>
          <t>ÖREBRO LÄN</t>
        </is>
      </c>
      <c r="G63" t="inlineStr">
        <is>
          <t>LEKEBERG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21042-2023</t>
        </is>
      </c>
      <c r="B64" t="inlineStr">
        <is>
          <t>avverkningsanmälan</t>
        </is>
      </c>
      <c r="C64" t="inlineStr">
        <is>
          <t>Föryngringsavverkning</t>
        </is>
      </c>
      <c r="D64" s="1" t="n">
        <v>45056</v>
      </c>
      <c r="E64" s="1" t="n">
        <v>46311</v>
      </c>
      <c r="F64" t="inlineStr">
        <is>
          <t>ÖREBRO LÄN</t>
        </is>
      </c>
      <c r="G64" t="inlineStr">
        <is>
          <t>LEKEBERG</t>
        </is>
      </c>
      <c r="I64" t="n">
        <v>1</v>
      </c>
      <c r="J64" t="n">
        <v>0</v>
      </c>
      <c r="K64" t="n">
        <v>0</v>
      </c>
      <c r="L64" t="n">
        <v>0</v>
      </c>
      <c r="M64" t="n">
        <v>0</v>
      </c>
      <c r="N64" t="n">
        <v>0</v>
      </c>
      <c r="O64" t="n">
        <v>0</v>
      </c>
      <c r="P64" t="n">
        <v>0</v>
      </c>
      <c r="Q64" t="n">
        <v>0</v>
      </c>
      <c r="R64" t="n">
        <v>0</v>
      </c>
      <c r="S64" t="n">
        <v>0</v>
      </c>
      <c r="T64" t="n">
        <v>0</v>
      </c>
      <c r="U64" t="n">
        <v>0</v>
      </c>
      <c r="V64" s="2" t="inlineStr"/>
    </row>
    <row r="65" ht="15" customHeight="1">
      <c r="A65" t="inlineStr">
        <is>
          <t>A 14176-2025</t>
        </is>
      </c>
      <c r="B65" t="inlineStr">
        <is>
          <t>avverkningsanmälan</t>
        </is>
      </c>
      <c r="C65" t="inlineStr">
        <is>
          <t>Föryngringsavverkning</t>
        </is>
      </c>
      <c r="D65" s="1" t="n">
        <v>45740</v>
      </c>
      <c r="E65" s="1" t="n">
        <v>46311</v>
      </c>
      <c r="F65" t="inlineStr">
        <is>
          <t>ÖREBRO LÄN</t>
        </is>
      </c>
      <c r="G65" t="inlineStr">
        <is>
          <t>LEKEBERG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46311</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46311</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33336-2023</t>
        </is>
      </c>
      <c r="B68" t="inlineStr">
        <is>
          <t>avverkningsanmälan</t>
        </is>
      </c>
      <c r="C68" t="inlineStr">
        <is>
          <t>Föryngringsavverkning</t>
        </is>
      </c>
      <c r="D68" s="1" t="n">
        <v>45128</v>
      </c>
      <c r="E68" s="1" t="n">
        <v>46311</v>
      </c>
      <c r="F68" t="inlineStr">
        <is>
          <t>ÖREBRO LÄN</t>
        </is>
      </c>
      <c r="G68" t="inlineStr">
        <is>
          <t>LEKEBERG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33337-2023</t>
        </is>
      </c>
      <c r="B69" t="inlineStr">
        <is>
          <t>avverkningsanmälan</t>
        </is>
      </c>
      <c r="C69" t="inlineStr">
        <is>
          <t>Föryngringsavverkning</t>
        </is>
      </c>
      <c r="D69" s="1" t="n">
        <v>45128</v>
      </c>
      <c r="E69" s="1" t="n">
        <v>46311</v>
      </c>
      <c r="F69" t="inlineStr">
        <is>
          <t>ÖREBRO LÄN</t>
        </is>
      </c>
      <c r="G69" t="inlineStr">
        <is>
          <t>LEKEBERG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14169-2025</t>
        </is>
      </c>
      <c r="B70" t="inlineStr">
        <is>
          <t>avverkningsanmälan</t>
        </is>
      </c>
      <c r="C70" t="inlineStr">
        <is>
          <t>Föryngringsavverkning</t>
        </is>
      </c>
      <c r="D70" s="1" t="n">
        <v>45740</v>
      </c>
      <c r="E70" s="1" t="n">
        <v>46311</v>
      </c>
      <c r="F70" t="inlineStr">
        <is>
          <t>ÖREBRO LÄN</t>
        </is>
      </c>
      <c r="G70" t="inlineStr">
        <is>
          <t>LEKEBERG</t>
        </is>
      </c>
      <c r="I70" t="n">
        <v>2.5</v>
      </c>
      <c r="J70" t="n">
        <v>0</v>
      </c>
      <c r="K70" t="n">
        <v>0</v>
      </c>
      <c r="L70" t="n">
        <v>0</v>
      </c>
      <c r="M70" t="n">
        <v>0</v>
      </c>
      <c r="N70" t="n">
        <v>0</v>
      </c>
      <c r="O70" t="n">
        <v>0</v>
      </c>
      <c r="P70" t="n">
        <v>0</v>
      </c>
      <c r="Q70" t="n">
        <v>0</v>
      </c>
      <c r="R70" t="n">
        <v>0</v>
      </c>
      <c r="S70" t="n">
        <v>0</v>
      </c>
      <c r="T70" t="n">
        <v>0</v>
      </c>
      <c r="U70" t="n">
        <v>0</v>
      </c>
      <c r="V70" s="2" t="inlineStr"/>
    </row>
    <row r="71" ht="15" customHeight="1">
      <c r="A71" t="inlineStr">
        <is>
          <t>A 61644-2023</t>
        </is>
      </c>
      <c r="B71" t="inlineStr">
        <is>
          <t>avverkningsanmälan</t>
        </is>
      </c>
      <c r="C71" t="inlineStr">
        <is>
          <t>Föryngringsavverkning</t>
        </is>
      </c>
      <c r="D71" s="1" t="n">
        <v>45263</v>
      </c>
      <c r="E71" s="1" t="n">
        <v>46311</v>
      </c>
      <c r="F71" t="inlineStr">
        <is>
          <t>ÖREBRO LÄN</t>
        </is>
      </c>
      <c r="G71" t="inlineStr">
        <is>
          <t>LEKEBERG</t>
        </is>
      </c>
      <c r="I71" t="n">
        <v>2.9</v>
      </c>
      <c r="J71" t="n">
        <v>0</v>
      </c>
      <c r="K71" t="n">
        <v>0</v>
      </c>
      <c r="L71" t="n">
        <v>0</v>
      </c>
      <c r="M71" t="n">
        <v>0</v>
      </c>
      <c r="N71" t="n">
        <v>0</v>
      </c>
      <c r="O71" t="n">
        <v>0</v>
      </c>
      <c r="P71" t="n">
        <v>0</v>
      </c>
      <c r="Q71" t="n">
        <v>0</v>
      </c>
      <c r="R71" t="n">
        <v>0</v>
      </c>
      <c r="S71" t="n">
        <v>0</v>
      </c>
      <c r="T71" t="n">
        <v>0</v>
      </c>
      <c r="U71" t="n">
        <v>0</v>
      </c>
      <c r="V71" s="2" t="inlineStr"/>
    </row>
    <row r="72" ht="15" customHeight="1">
      <c r="A72" t="inlineStr">
        <is>
          <t>A 33963-2023</t>
        </is>
      </c>
      <c r="B72" t="inlineStr">
        <is>
          <t>avverkningsanmälan</t>
        </is>
      </c>
      <c r="C72" t="inlineStr">
        <is>
          <t>Föryngringsavverkning</t>
        </is>
      </c>
      <c r="D72" s="1" t="n">
        <v>45134</v>
      </c>
      <c r="E72" s="1" t="n">
        <v>46311</v>
      </c>
      <c r="F72" t="inlineStr">
        <is>
          <t>ÖREBRO LÄN</t>
        </is>
      </c>
      <c r="G72" t="inlineStr">
        <is>
          <t>LEKEBERG</t>
        </is>
      </c>
      <c r="I72" t="n">
        <v>2.8</v>
      </c>
      <c r="J72" t="n">
        <v>0</v>
      </c>
      <c r="K72" t="n">
        <v>0</v>
      </c>
      <c r="L72" t="n">
        <v>0</v>
      </c>
      <c r="M72" t="n">
        <v>0</v>
      </c>
      <c r="N72" t="n">
        <v>0</v>
      </c>
      <c r="O72" t="n">
        <v>0</v>
      </c>
      <c r="P72" t="n">
        <v>0</v>
      </c>
      <c r="Q72" t="n">
        <v>0</v>
      </c>
      <c r="R72" t="n">
        <v>0</v>
      </c>
      <c r="S72" t="n">
        <v>0</v>
      </c>
      <c r="T72" t="n">
        <v>0</v>
      </c>
      <c r="U72" t="n">
        <v>0</v>
      </c>
      <c r="V72" s="2" t="inlineStr"/>
    </row>
    <row r="73" ht="15" customHeight="1">
      <c r="A73" t="inlineStr">
        <is>
          <t>A 5559-2024</t>
        </is>
      </c>
      <c r="B73" t="inlineStr">
        <is>
          <t>avverkningsanmälan</t>
        </is>
      </c>
      <c r="C73" t="inlineStr">
        <is>
          <t>Avverkning för att bevara och utveckla /försöksver</t>
        </is>
      </c>
      <c r="D73" s="1" t="n">
        <v>45334</v>
      </c>
      <c r="E73" s="1" t="n">
        <v>46311</v>
      </c>
      <c r="F73" t="inlineStr">
        <is>
          <t>ÖREBRO LÄN</t>
        </is>
      </c>
      <c r="G73" t="inlineStr">
        <is>
          <t>LEKEBERG</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27947-2023</t>
        </is>
      </c>
      <c r="B74" t="inlineStr">
        <is>
          <t>avverkningsanmälan</t>
        </is>
      </c>
      <c r="C74" t="inlineStr">
        <is>
          <t>Föryngringsavverkning</t>
        </is>
      </c>
      <c r="D74" s="1" t="n">
        <v>45098</v>
      </c>
      <c r="E74" s="1" t="n">
        <v>46311</v>
      </c>
      <c r="F74" t="inlineStr">
        <is>
          <t>ÖREBRO LÄN</t>
        </is>
      </c>
      <c r="G74" t="inlineStr">
        <is>
          <t>LEKEBERG</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18645-2023</t>
        </is>
      </c>
      <c r="B75" t="inlineStr">
        <is>
          <t>avverkningsanmälan</t>
        </is>
      </c>
      <c r="C75" t="inlineStr">
        <is>
          <t>Föryngringsavverkning</t>
        </is>
      </c>
      <c r="D75" s="1" t="n">
        <v>45043</v>
      </c>
      <c r="E75" s="1" t="n">
        <v>46311</v>
      </c>
      <c r="F75" t="inlineStr">
        <is>
          <t>ÖREBRO LÄN</t>
        </is>
      </c>
      <c r="G75" t="inlineStr">
        <is>
          <t>LEKEBERG</t>
        </is>
      </c>
      <c r="I75" t="n">
        <v>1.8</v>
      </c>
      <c r="J75" t="n">
        <v>0</v>
      </c>
      <c r="K75" t="n">
        <v>0</v>
      </c>
      <c r="L75" t="n">
        <v>0</v>
      </c>
      <c r="M75" t="n">
        <v>0</v>
      </c>
      <c r="N75" t="n">
        <v>0</v>
      </c>
      <c r="O75" t="n">
        <v>0</v>
      </c>
      <c r="P75" t="n">
        <v>0</v>
      </c>
      <c r="Q75" t="n">
        <v>0</v>
      </c>
      <c r="R75" t="n">
        <v>0</v>
      </c>
      <c r="S75" t="n">
        <v>0</v>
      </c>
      <c r="T75" t="n">
        <v>0</v>
      </c>
      <c r="U75" t="n">
        <v>0</v>
      </c>
      <c r="V75" s="2" t="inlineStr"/>
    </row>
    <row r="76" ht="15" customHeight="1">
      <c r="A76" t="inlineStr">
        <is>
          <t>A 4467-2022</t>
        </is>
      </c>
      <c r="B76" t="inlineStr">
        <is>
          <t>avverkningsanmälan</t>
        </is>
      </c>
      <c r="C76" t="inlineStr">
        <is>
          <t>Föryngringsavverkning</t>
        </is>
      </c>
      <c r="D76" s="1" t="n">
        <v>44589</v>
      </c>
      <c r="E76" s="1" t="n">
        <v>46311</v>
      </c>
      <c r="F76" t="inlineStr">
        <is>
          <t>ÖREBRO LÄN</t>
        </is>
      </c>
      <c r="G76" t="inlineStr">
        <is>
          <t>LEKEBERG</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36516-2023</t>
        </is>
      </c>
      <c r="B77" t="inlineStr">
        <is>
          <t>avverkningsanmälan</t>
        </is>
      </c>
      <c r="C77" t="inlineStr">
        <is>
          <t>Föryngringsavverkning</t>
        </is>
      </c>
      <c r="D77" s="1" t="n">
        <v>45153</v>
      </c>
      <c r="E77" s="1" t="n">
        <v>46311</v>
      </c>
      <c r="F77" t="inlineStr">
        <is>
          <t>ÖREBRO LÄN</t>
        </is>
      </c>
      <c r="G77" t="inlineStr">
        <is>
          <t>LEKEBERG</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1599-2025</t>
        </is>
      </c>
      <c r="B78" t="inlineStr">
        <is>
          <t>avverkningsanmälan</t>
        </is>
      </c>
      <c r="C78" t="inlineStr">
        <is>
          <t>Föryngringsavverkning</t>
        </is>
      </c>
      <c r="D78" s="1" t="n">
        <v>45670</v>
      </c>
      <c r="E78" s="1" t="n">
        <v>46311</v>
      </c>
      <c r="F78" t="inlineStr">
        <is>
          <t>ÖREBRO LÄN</t>
        </is>
      </c>
      <c r="G78" t="inlineStr">
        <is>
          <t>LEKEBERG</t>
        </is>
      </c>
      <c r="H78" t="inlineStr">
        <is>
          <t>Allmännings- och besparingsskogar</t>
        </is>
      </c>
      <c r="I78" t="n">
        <v>18.8</v>
      </c>
      <c r="J78" t="n">
        <v>0</v>
      </c>
      <c r="K78" t="n">
        <v>0</v>
      </c>
      <c r="L78" t="n">
        <v>0</v>
      </c>
      <c r="M78" t="n">
        <v>0</v>
      </c>
      <c r="N78" t="n">
        <v>0</v>
      </c>
      <c r="O78" t="n">
        <v>0</v>
      </c>
      <c r="P78" t="n">
        <v>0</v>
      </c>
      <c r="Q78" t="n">
        <v>0</v>
      </c>
      <c r="R78" t="n">
        <v>0</v>
      </c>
      <c r="S78" t="n">
        <v>0</v>
      </c>
      <c r="T78" t="n">
        <v>0</v>
      </c>
      <c r="U78" t="n">
        <v>0</v>
      </c>
      <c r="V78" s="2" t="inlineStr"/>
    </row>
    <row r="79" ht="15" customHeight="1">
      <c r="A79" t="inlineStr">
        <is>
          <t>A 4470-2022</t>
        </is>
      </c>
      <c r="B79" t="inlineStr">
        <is>
          <t>avverkningsanmälan</t>
        </is>
      </c>
      <c r="C79" t="inlineStr">
        <is>
          <t>Föryngringsavverkning</t>
        </is>
      </c>
      <c r="D79" s="1" t="n">
        <v>44589</v>
      </c>
      <c r="E79" s="1" t="n">
        <v>46311</v>
      </c>
      <c r="F79" t="inlineStr">
        <is>
          <t>ÖREBRO LÄN</t>
        </is>
      </c>
      <c r="G79" t="inlineStr">
        <is>
          <t>LEKEBERG</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38955-2023</t>
        </is>
      </c>
      <c r="B80" t="inlineStr">
        <is>
          <t>avverkningsanmälan</t>
        </is>
      </c>
      <c r="C80" t="inlineStr">
        <is>
          <t>Föryngringsavverkning</t>
        </is>
      </c>
      <c r="D80" s="1" t="n">
        <v>45163</v>
      </c>
      <c r="E80" s="1" t="n">
        <v>46311</v>
      </c>
      <c r="F80" t="inlineStr">
        <is>
          <t>ÖREBRO LÄN</t>
        </is>
      </c>
      <c r="G80" t="inlineStr">
        <is>
          <t>LEKEBERG</t>
        </is>
      </c>
      <c r="I80" t="n">
        <v>1.8</v>
      </c>
      <c r="J80" t="n">
        <v>0</v>
      </c>
      <c r="K80" t="n">
        <v>0</v>
      </c>
      <c r="L80" t="n">
        <v>0</v>
      </c>
      <c r="M80" t="n">
        <v>0</v>
      </c>
      <c r="N80" t="n">
        <v>0</v>
      </c>
      <c r="O80" t="n">
        <v>0</v>
      </c>
      <c r="P80" t="n">
        <v>0</v>
      </c>
      <c r="Q80" t="n">
        <v>0</v>
      </c>
      <c r="R80" t="n">
        <v>0</v>
      </c>
      <c r="S80" t="n">
        <v>0</v>
      </c>
      <c r="T80" t="n">
        <v>0</v>
      </c>
      <c r="U80" t="n">
        <v>0</v>
      </c>
      <c r="V80" s="2" t="inlineStr"/>
    </row>
    <row r="81" ht="15" customHeight="1">
      <c r="A81" t="inlineStr">
        <is>
          <t>A 1157-2025</t>
        </is>
      </c>
      <c r="B81" t="inlineStr">
        <is>
          <t>avverkningsanmälan</t>
        </is>
      </c>
      <c r="C81" t="inlineStr">
        <is>
          <t>Föryngringsavverkning</t>
        </is>
      </c>
      <c r="D81" s="1" t="n">
        <v>45666</v>
      </c>
      <c r="E81" s="1" t="n">
        <v>46311</v>
      </c>
      <c r="F81" t="inlineStr">
        <is>
          <t>ÖREBRO LÄN</t>
        </is>
      </c>
      <c r="G81" t="inlineStr">
        <is>
          <t>LEKEBERG</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14739-2026</t>
        </is>
      </c>
      <c r="B82" t="inlineStr">
        <is>
          <t>avverkningsanmälan</t>
        </is>
      </c>
      <c r="C82" t="inlineStr">
        <is>
          <t>Föryngringsavverkning</t>
        </is>
      </c>
      <c r="D82" s="1" t="n">
        <v>46101</v>
      </c>
      <c r="E82" s="1" t="n">
        <v>46311</v>
      </c>
      <c r="F82" t="inlineStr">
        <is>
          <t>ÖREBRO LÄN</t>
        </is>
      </c>
      <c r="G82" t="inlineStr">
        <is>
          <t>LEKEBERG</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7202-2023</t>
        </is>
      </c>
      <c r="B83" t="inlineStr">
        <is>
          <t>avverkningsanmälan</t>
        </is>
      </c>
      <c r="C83" t="inlineStr">
        <is>
          <t>Föryngringsavverkning</t>
        </is>
      </c>
      <c r="D83" s="1" t="n">
        <v>44965</v>
      </c>
      <c r="E83" s="1" t="n">
        <v>46311</v>
      </c>
      <c r="F83" t="inlineStr">
        <is>
          <t>ÖREBRO LÄN</t>
        </is>
      </c>
      <c r="G83" t="inlineStr">
        <is>
          <t>LEKEBERG</t>
        </is>
      </c>
      <c r="I83" t="n">
        <v>2.6</v>
      </c>
      <c r="J83" t="n">
        <v>0</v>
      </c>
      <c r="K83" t="n">
        <v>0</v>
      </c>
      <c r="L83" t="n">
        <v>0</v>
      </c>
      <c r="M83" t="n">
        <v>0</v>
      </c>
      <c r="N83" t="n">
        <v>0</v>
      </c>
      <c r="O83" t="n">
        <v>0</v>
      </c>
      <c r="P83" t="n">
        <v>0</v>
      </c>
      <c r="Q83" t="n">
        <v>0</v>
      </c>
      <c r="R83" t="n">
        <v>0</v>
      </c>
      <c r="S83" t="n">
        <v>0</v>
      </c>
      <c r="T83" t="n">
        <v>0</v>
      </c>
      <c r="U83" t="n">
        <v>0</v>
      </c>
      <c r="V83" s="2" t="inlineStr"/>
    </row>
    <row r="84" ht="15" customHeight="1">
      <c r="A84" t="inlineStr">
        <is>
          <t>A 53910-2023</t>
        </is>
      </c>
      <c r="B84" t="inlineStr">
        <is>
          <t>avverkningsanmälan</t>
        </is>
      </c>
      <c r="C84" t="inlineStr">
        <is>
          <t>Föryngringsavverkning</t>
        </is>
      </c>
      <c r="D84" s="1" t="n">
        <v>45231</v>
      </c>
      <c r="E84" s="1" t="n">
        <v>46311</v>
      </c>
      <c r="F84" t="inlineStr">
        <is>
          <t>ÖREBRO LÄN</t>
        </is>
      </c>
      <c r="G84" t="inlineStr">
        <is>
          <t>LEKEBERG</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6843-2024</t>
        </is>
      </c>
      <c r="B85" t="inlineStr">
        <is>
          <t>avverkningsanmälan</t>
        </is>
      </c>
      <c r="C85" t="inlineStr">
        <is>
          <t>Föryngringsavverkning</t>
        </is>
      </c>
      <c r="D85" s="1" t="n">
        <v>45342</v>
      </c>
      <c r="E85" s="1" t="n">
        <v>46311</v>
      </c>
      <c r="F85" t="inlineStr">
        <is>
          <t>ÖREBRO LÄN</t>
        </is>
      </c>
      <c r="G85" t="inlineStr">
        <is>
          <t>LEKEBERG</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40240-2024</t>
        </is>
      </c>
      <c r="B86" t="inlineStr">
        <is>
          <t>avverkningsanmälan</t>
        </is>
      </c>
      <c r="C86" t="inlineStr">
        <is>
          <t>Föryngringsavverkning</t>
        </is>
      </c>
      <c r="D86" s="1" t="n">
        <v>45554</v>
      </c>
      <c r="E86" s="1" t="n">
        <v>46311</v>
      </c>
      <c r="F86" t="inlineStr">
        <is>
          <t>ÖREBRO LÄN</t>
        </is>
      </c>
      <c r="G86" t="inlineStr">
        <is>
          <t>LEKEBERG</t>
        </is>
      </c>
      <c r="I86" t="n">
        <v>3.6</v>
      </c>
      <c r="J86" t="n">
        <v>0</v>
      </c>
      <c r="K86" t="n">
        <v>0</v>
      </c>
      <c r="L86" t="n">
        <v>0</v>
      </c>
      <c r="M86" t="n">
        <v>0</v>
      </c>
      <c r="N86" t="n">
        <v>0</v>
      </c>
      <c r="O86" t="n">
        <v>0</v>
      </c>
      <c r="P86" t="n">
        <v>0</v>
      </c>
      <c r="Q86" t="n">
        <v>0</v>
      </c>
      <c r="R86" t="n">
        <v>0</v>
      </c>
      <c r="S86" t="n">
        <v>0</v>
      </c>
      <c r="T86" t="n">
        <v>0</v>
      </c>
      <c r="U86" t="n">
        <v>0</v>
      </c>
      <c r="V86" s="2" t="inlineStr"/>
    </row>
    <row r="87" ht="15" customHeight="1">
      <c r="A87" t="inlineStr">
        <is>
          <t>A 19044-2023</t>
        </is>
      </c>
      <c r="B87" t="inlineStr">
        <is>
          <t>avverkningsanmälan</t>
        </is>
      </c>
      <c r="C87" t="inlineStr">
        <is>
          <t>Föryngringsavverkning</t>
        </is>
      </c>
      <c r="D87" s="1" t="n">
        <v>45047</v>
      </c>
      <c r="E87" s="1" t="n">
        <v>46311</v>
      </c>
      <c r="F87" t="inlineStr">
        <is>
          <t>ÖREBRO LÄN</t>
        </is>
      </c>
      <c r="G87" t="inlineStr">
        <is>
          <t>LEKEBERG</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19045-2023</t>
        </is>
      </c>
      <c r="B88" t="inlineStr">
        <is>
          <t>avverkningsanmälan</t>
        </is>
      </c>
      <c r="C88" t="inlineStr">
        <is>
          <t>Föryngringsavverkning</t>
        </is>
      </c>
      <c r="D88" s="1" t="n">
        <v>45047</v>
      </c>
      <c r="E88" s="1" t="n">
        <v>46311</v>
      </c>
      <c r="F88" t="inlineStr">
        <is>
          <t>ÖREBRO LÄN</t>
        </is>
      </c>
      <c r="G88" t="inlineStr">
        <is>
          <t>LEKEBERG</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18325-2026</t>
        </is>
      </c>
      <c r="B89" t="inlineStr">
        <is>
          <t>avverkningsanmälan</t>
        </is>
      </c>
      <c r="C89" t="inlineStr">
        <is>
          <t>Föryngringsavverkning</t>
        </is>
      </c>
      <c r="D89" s="1" t="n">
        <v>46126</v>
      </c>
      <c r="E89" s="1" t="n">
        <v>46311</v>
      </c>
      <c r="F89" t="inlineStr">
        <is>
          <t>ÖREBRO LÄN</t>
        </is>
      </c>
      <c r="G89" t="inlineStr">
        <is>
          <t>LEKEBERG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10787-2023</t>
        </is>
      </c>
      <c r="B90" t="inlineStr">
        <is>
          <t>avverkningsanmälan</t>
        </is>
      </c>
      <c r="C90" t="inlineStr">
        <is>
          <t>Avverkning för annat ändamål</t>
        </is>
      </c>
      <c r="D90" s="1" t="n">
        <v>44989</v>
      </c>
      <c r="E90" s="1" t="n">
        <v>46311</v>
      </c>
      <c r="F90" t="inlineStr">
        <is>
          <t>ÖREBRO LÄN</t>
        </is>
      </c>
      <c r="G90" t="inlineStr">
        <is>
          <t>LEKEBERG</t>
        </is>
      </c>
      <c r="I90" t="n">
        <v>5</v>
      </c>
      <c r="J90" t="n">
        <v>0</v>
      </c>
      <c r="K90" t="n">
        <v>0</v>
      </c>
      <c r="L90" t="n">
        <v>0</v>
      </c>
      <c r="M90" t="n">
        <v>0</v>
      </c>
      <c r="N90" t="n">
        <v>0</v>
      </c>
      <c r="O90" t="n">
        <v>0</v>
      </c>
      <c r="P90" t="n">
        <v>0</v>
      </c>
      <c r="Q90" t="n">
        <v>0</v>
      </c>
      <c r="R90" t="n">
        <v>0</v>
      </c>
      <c r="S90" t="n">
        <v>0</v>
      </c>
      <c r="T90" t="n">
        <v>0</v>
      </c>
      <c r="U90" t="n">
        <v>0</v>
      </c>
      <c r="V90" s="2" t="inlineStr"/>
    </row>
    <row r="91" ht="15" customHeight="1">
      <c r="A91" t="inlineStr">
        <is>
          <t>A 10791-2023</t>
        </is>
      </c>
      <c r="B91" t="inlineStr">
        <is>
          <t>avverkningsanmälan</t>
        </is>
      </c>
      <c r="C91" t="inlineStr">
        <is>
          <t>Avverkning för annat ändamål</t>
        </is>
      </c>
      <c r="D91" s="1" t="n">
        <v>44989</v>
      </c>
      <c r="E91" s="1" t="n">
        <v>46311</v>
      </c>
      <c r="F91" t="inlineStr">
        <is>
          <t>ÖREBRO LÄN</t>
        </is>
      </c>
      <c r="G91" t="inlineStr">
        <is>
          <t>LEKEBERG</t>
        </is>
      </c>
      <c r="I91" t="n">
        <v>2.4</v>
      </c>
      <c r="J91" t="n">
        <v>0</v>
      </c>
      <c r="K91" t="n">
        <v>0</v>
      </c>
      <c r="L91" t="n">
        <v>0</v>
      </c>
      <c r="M91" t="n">
        <v>0</v>
      </c>
      <c r="N91" t="n">
        <v>0</v>
      </c>
      <c r="O91" t="n">
        <v>0</v>
      </c>
      <c r="P91" t="n">
        <v>0</v>
      </c>
      <c r="Q91" t="n">
        <v>0</v>
      </c>
      <c r="R91" t="n">
        <v>0</v>
      </c>
      <c r="S91" t="n">
        <v>0</v>
      </c>
      <c r="T91" t="n">
        <v>0</v>
      </c>
      <c r="U91" t="n">
        <v>0</v>
      </c>
      <c r="V91" s="2" t="inlineStr"/>
    </row>
    <row r="92" ht="15" customHeight="1">
      <c r="A92" t="inlineStr">
        <is>
          <t>A 33204-2025</t>
        </is>
      </c>
      <c r="B92" t="inlineStr">
        <is>
          <t>avverkningsanmälan</t>
        </is>
      </c>
      <c r="C92" t="inlineStr">
        <is>
          <t>Föryngringsavverkning</t>
        </is>
      </c>
      <c r="D92" s="1" t="n">
        <v>45840</v>
      </c>
      <c r="E92" s="1" t="n">
        <v>46311</v>
      </c>
      <c r="F92" t="inlineStr">
        <is>
          <t>ÖREBRO LÄN</t>
        </is>
      </c>
      <c r="G92" t="inlineStr">
        <is>
          <t>LEKEBERG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22323-2023</t>
        </is>
      </c>
      <c r="B93" t="inlineStr">
        <is>
          <t>avverkningsanmälan</t>
        </is>
      </c>
      <c r="C93" t="inlineStr">
        <is>
          <t>Avverkning för att bevara och utveckla /försöksver</t>
        </is>
      </c>
      <c r="D93" s="1" t="n">
        <v>45068</v>
      </c>
      <c r="E93" s="1" t="n">
        <v>46311</v>
      </c>
      <c r="F93" t="inlineStr">
        <is>
          <t>ÖREBRO LÄN</t>
        </is>
      </c>
      <c r="G93" t="inlineStr">
        <is>
          <t>LEKEBERG</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47902-2023</t>
        </is>
      </c>
      <c r="B94" t="inlineStr">
        <is>
          <t>avverkningsanmälan</t>
        </is>
      </c>
      <c r="C94" t="inlineStr">
        <is>
          <t>Föryngringsavverkning</t>
        </is>
      </c>
      <c r="D94" s="1" t="n">
        <v>45204</v>
      </c>
      <c r="E94" s="1" t="n">
        <v>46311</v>
      </c>
      <c r="F94" t="inlineStr">
        <is>
          <t>ÖREBRO LÄN</t>
        </is>
      </c>
      <c r="G94" t="inlineStr">
        <is>
          <t>LEKEBERG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36444-2022</t>
        </is>
      </c>
      <c r="B95" t="inlineStr">
        <is>
          <t>avverkningsanmälan</t>
        </is>
      </c>
      <c r="C95" t="inlineStr">
        <is>
          <t>Föryngringsavverkning</t>
        </is>
      </c>
      <c r="D95" s="1" t="n">
        <v>44804</v>
      </c>
      <c r="E95" s="1" t="n">
        <v>46311</v>
      </c>
      <c r="F95" t="inlineStr">
        <is>
          <t>ÖREBRO LÄN</t>
        </is>
      </c>
      <c r="G95" t="inlineStr">
        <is>
          <t>LEKEBERG</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30747-2023</t>
        </is>
      </c>
      <c r="B96" t="inlineStr">
        <is>
          <t>avverkningsanmälan</t>
        </is>
      </c>
      <c r="C96" t="inlineStr">
        <is>
          <t>Föryngringsavverkning</t>
        </is>
      </c>
      <c r="D96" s="1" t="n">
        <v>45112</v>
      </c>
      <c r="E96" s="1" t="n">
        <v>46311</v>
      </c>
      <c r="F96" t="inlineStr">
        <is>
          <t>ÖREBRO LÄN</t>
        </is>
      </c>
      <c r="G96" t="inlineStr">
        <is>
          <t>LEKEBERG</t>
        </is>
      </c>
      <c r="H96" t="inlineStr">
        <is>
          <t>Allmännings- och besparingsskogar</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30802-2023</t>
        </is>
      </c>
      <c r="B97" t="inlineStr">
        <is>
          <t>avverkningsanmälan</t>
        </is>
      </c>
      <c r="C97" t="inlineStr">
        <is>
          <t>Avverkning för att bevara och utveckla /försöksver</t>
        </is>
      </c>
      <c r="D97" s="1" t="n">
        <v>45112</v>
      </c>
      <c r="E97" s="1" t="n">
        <v>46311</v>
      </c>
      <c r="F97" t="inlineStr">
        <is>
          <t>ÖREBRO LÄN</t>
        </is>
      </c>
      <c r="G97" t="inlineStr">
        <is>
          <t>LEKEBERG</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11794-2023</t>
        </is>
      </c>
      <c r="B98" t="inlineStr">
        <is>
          <t>avverkningsanmälan</t>
        </is>
      </c>
      <c r="C98" t="inlineStr">
        <is>
          <t>Föryngringsavverkning</t>
        </is>
      </c>
      <c r="D98" s="1" t="n">
        <v>44994</v>
      </c>
      <c r="E98" s="1" t="n">
        <v>46311</v>
      </c>
      <c r="F98" t="inlineStr">
        <is>
          <t>ÖREBRO LÄN</t>
        </is>
      </c>
      <c r="G98" t="inlineStr">
        <is>
          <t>LEKEBERG</t>
        </is>
      </c>
      <c r="I98" t="n">
        <v>7.6</v>
      </c>
      <c r="J98" t="n">
        <v>0</v>
      </c>
      <c r="K98" t="n">
        <v>0</v>
      </c>
      <c r="L98" t="n">
        <v>0</v>
      </c>
      <c r="M98" t="n">
        <v>0</v>
      </c>
      <c r="N98" t="n">
        <v>0</v>
      </c>
      <c r="O98" t="n">
        <v>0</v>
      </c>
      <c r="P98" t="n">
        <v>0</v>
      </c>
      <c r="Q98" t="n">
        <v>0</v>
      </c>
      <c r="R98" t="n">
        <v>0</v>
      </c>
      <c r="S98" t="n">
        <v>0</v>
      </c>
      <c r="T98" t="n">
        <v>0</v>
      </c>
      <c r="U98" t="n">
        <v>0</v>
      </c>
      <c r="V98" s="2" t="inlineStr"/>
    </row>
    <row r="99" ht="15" customHeight="1">
      <c r="A99" t="inlineStr">
        <is>
          <t>A 3643-2023</t>
        </is>
      </c>
      <c r="B99" t="inlineStr">
        <is>
          <t>avverkningsanmälan</t>
        </is>
      </c>
      <c r="C99" t="inlineStr">
        <is>
          <t>Föryngringsavverkning</t>
        </is>
      </c>
      <c r="D99" s="1" t="n">
        <v>44950</v>
      </c>
      <c r="E99" s="1" t="n">
        <v>46311</v>
      </c>
      <c r="F99" t="inlineStr">
        <is>
          <t>ÖREBRO LÄN</t>
        </is>
      </c>
      <c r="G99" t="inlineStr">
        <is>
          <t>LEKEBERG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22137-2022</t>
        </is>
      </c>
      <c r="B100" t="inlineStr">
        <is>
          <t>avverkningsanmälan</t>
        </is>
      </c>
      <c r="C100" t="inlineStr">
        <is>
          <t>Föryngringsavverkning</t>
        </is>
      </c>
      <c r="D100" s="1" t="n">
        <v>44712</v>
      </c>
      <c r="E100" s="1" t="n">
        <v>46311</v>
      </c>
      <c r="F100" t="inlineStr">
        <is>
          <t>ÖREBRO LÄN</t>
        </is>
      </c>
      <c r="G100" t="inlineStr">
        <is>
          <t>LEKEBERG</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26763-2023</t>
        </is>
      </c>
      <c r="B101" t="inlineStr">
        <is>
          <t>avverkningsanmälan</t>
        </is>
      </c>
      <c r="C101" t="inlineStr">
        <is>
          <t>Föryngringsavverkning</t>
        </is>
      </c>
      <c r="D101" s="1" t="n">
        <v>45093</v>
      </c>
      <c r="E101" s="1" t="n">
        <v>46311</v>
      </c>
      <c r="F101" t="inlineStr">
        <is>
          <t>ÖREBRO LÄN</t>
        </is>
      </c>
      <c r="G101" t="inlineStr">
        <is>
          <t>LEKEBERG</t>
        </is>
      </c>
      <c r="I101" t="n">
        <v>2.1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10617-2022</t>
        </is>
      </c>
      <c r="B102" t="inlineStr">
        <is>
          <t>avverkningsanmälan</t>
        </is>
      </c>
      <c r="C102" t="inlineStr">
        <is>
          <t>Föryngringsavverkning</t>
        </is>
      </c>
      <c r="D102" s="1" t="n">
        <v>44624</v>
      </c>
      <c r="E102" s="1" t="n">
        <v>46311</v>
      </c>
      <c r="F102" t="inlineStr">
        <is>
          <t>ÖREBRO LÄN</t>
        </is>
      </c>
      <c r="G102" t="inlineStr">
        <is>
          <t>LEKEBERG</t>
        </is>
      </c>
      <c r="I102" t="n">
        <v>7.9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22198-2023</t>
        </is>
      </c>
      <c r="B103" t="inlineStr">
        <is>
          <t>avverkningsanmälan</t>
        </is>
      </c>
      <c r="C103" t="inlineStr">
        <is>
          <t>Föryngringsavverkning</t>
        </is>
      </c>
      <c r="D103" s="1" t="n">
        <v>45069</v>
      </c>
      <c r="E103" s="1" t="n">
        <v>46311</v>
      </c>
      <c r="F103" t="inlineStr">
        <is>
          <t>ÖREBRO LÄN</t>
        </is>
      </c>
      <c r="G103" t="inlineStr">
        <is>
          <t>LEKEBERG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46877-2022</t>
        </is>
      </c>
      <c r="B104" t="inlineStr">
        <is>
          <t>avverkningsanmälan</t>
        </is>
      </c>
      <c r="C104" t="inlineStr">
        <is>
          <t>Föryngringsavverkning</t>
        </is>
      </c>
      <c r="D104" s="1" t="n">
        <v>44848</v>
      </c>
      <c r="E104" s="1" t="n">
        <v>46311</v>
      </c>
      <c r="F104" t="inlineStr">
        <is>
          <t>ÖREBRO LÄN</t>
        </is>
      </c>
      <c r="G104" t="inlineStr">
        <is>
          <t>LEKEBERG</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54959-2023</t>
        </is>
      </c>
      <c r="B105" t="inlineStr">
        <is>
          <t>avverkningsanmälan</t>
        </is>
      </c>
      <c r="C105" t="inlineStr">
        <is>
          <t>Föryngringsavverkning</t>
        </is>
      </c>
      <c r="D105" s="1" t="n">
        <v>45236</v>
      </c>
      <c r="E105" s="1" t="n">
        <v>46311</v>
      </c>
      <c r="F105" t="inlineStr">
        <is>
          <t>ÖREBRO LÄN</t>
        </is>
      </c>
      <c r="G105" t="inlineStr">
        <is>
          <t>LEKEBERG</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12961-2023</t>
        </is>
      </c>
      <c r="B106" t="inlineStr">
        <is>
          <t>avverkningsanmälan</t>
        </is>
      </c>
      <c r="C106" t="inlineStr">
        <is>
          <t>Föryngringsavverkning</t>
        </is>
      </c>
      <c r="D106" s="1" t="n">
        <v>45001</v>
      </c>
      <c r="E106" s="1" t="n">
        <v>46311</v>
      </c>
      <c r="F106" t="inlineStr">
        <is>
          <t>ÖREBRO LÄN</t>
        </is>
      </c>
      <c r="G106" t="inlineStr">
        <is>
          <t>LEKEBERG</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16914-2022</t>
        </is>
      </c>
      <c r="B107" t="inlineStr">
        <is>
          <t>avverkningsanmälan</t>
        </is>
      </c>
      <c r="C107" t="inlineStr">
        <is>
          <t>Föryngringsavverkning</t>
        </is>
      </c>
      <c r="D107" s="1" t="n">
        <v>44676</v>
      </c>
      <c r="E107" s="1" t="n">
        <v>46311</v>
      </c>
      <c r="F107" t="inlineStr">
        <is>
          <t>ÖREBRO LÄN</t>
        </is>
      </c>
      <c r="G107" t="inlineStr">
        <is>
          <t>LEKEBERG</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31113-2023</t>
        </is>
      </c>
      <c r="B108" t="inlineStr">
        <is>
          <t>avverkningsanmälan</t>
        </is>
      </c>
      <c r="C108" t="inlineStr">
        <is>
          <t>Föryngringsavverkning</t>
        </is>
      </c>
      <c r="D108" s="1" t="n">
        <v>45113</v>
      </c>
      <c r="E108" s="1" t="n">
        <v>46311</v>
      </c>
      <c r="F108" t="inlineStr">
        <is>
          <t>ÖREBRO LÄN</t>
        </is>
      </c>
      <c r="G108" t="inlineStr">
        <is>
          <t>LEKEBERG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11383-2023</t>
        </is>
      </c>
      <c r="B109" t="inlineStr">
        <is>
          <t>avverkningsanmälan</t>
        </is>
      </c>
      <c r="C109" t="inlineStr">
        <is>
          <t>Föryngringsavverkning</t>
        </is>
      </c>
      <c r="D109" s="1" t="n">
        <v>44993</v>
      </c>
      <c r="E109" s="1" t="n">
        <v>46311</v>
      </c>
      <c r="F109" t="inlineStr">
        <is>
          <t>ÖREBRO LÄN</t>
        </is>
      </c>
      <c r="G109" t="inlineStr">
        <is>
          <t>LEKEBERG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61492-2022</t>
        </is>
      </c>
      <c r="B110" t="inlineStr">
        <is>
          <t>avverkningsanmälan</t>
        </is>
      </c>
      <c r="C110" t="inlineStr">
        <is>
          <t>Föryngringsavverkning</t>
        </is>
      </c>
      <c r="D110" s="1" t="n">
        <v>44916</v>
      </c>
      <c r="E110" s="1" t="n">
        <v>46311</v>
      </c>
      <c r="F110" t="inlineStr">
        <is>
          <t>ÖREBRO LÄN</t>
        </is>
      </c>
      <c r="G110" t="inlineStr">
        <is>
          <t>LEKEBERG</t>
        </is>
      </c>
      <c r="I110" t="n">
        <v>5.9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39871-2024</t>
        </is>
      </c>
      <c r="B111" t="inlineStr">
        <is>
          <t>avverkningsanmälan</t>
        </is>
      </c>
      <c r="C111" t="inlineStr">
        <is>
          <t>Föryngringsavverkning</t>
        </is>
      </c>
      <c r="D111" s="1" t="n">
        <v>45553</v>
      </c>
      <c r="E111" s="1" t="n">
        <v>46311</v>
      </c>
      <c r="F111" t="inlineStr">
        <is>
          <t>ÖREBRO LÄN</t>
        </is>
      </c>
      <c r="G111" t="inlineStr">
        <is>
          <t>LEKEBERG</t>
        </is>
      </c>
      <c r="H111" t="inlineStr">
        <is>
          <t>Sveaskog</t>
        </is>
      </c>
      <c r="I111" t="n">
        <v>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47906-2023</t>
        </is>
      </c>
      <c r="B112" t="inlineStr">
        <is>
          <t>avverkningsanmälan</t>
        </is>
      </c>
      <c r="C112" t="inlineStr">
        <is>
          <t>Avverkning för annat ändamål</t>
        </is>
      </c>
      <c r="D112" s="1" t="n">
        <v>45204</v>
      </c>
      <c r="E112" s="1" t="n">
        <v>46311</v>
      </c>
      <c r="F112" t="inlineStr">
        <is>
          <t>ÖREBRO LÄN</t>
        </is>
      </c>
      <c r="G112" t="inlineStr">
        <is>
          <t>LEKEBERG</t>
        </is>
      </c>
      <c r="I112" t="n">
        <v>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38922-2023</t>
        </is>
      </c>
      <c r="B113" t="inlineStr">
        <is>
          <t>avverkningsanmälan</t>
        </is>
      </c>
      <c r="C113" t="inlineStr">
        <is>
          <t>Föryngringsavverkning</t>
        </is>
      </c>
      <c r="D113" s="1" t="n">
        <v>45163</v>
      </c>
      <c r="E113" s="1" t="n">
        <v>46311</v>
      </c>
      <c r="F113" t="inlineStr">
        <is>
          <t>ÖREBRO LÄN</t>
        </is>
      </c>
      <c r="G113" t="inlineStr">
        <is>
          <t>LEKEBERG</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43621-2025</t>
        </is>
      </c>
      <c r="B114" t="inlineStr">
        <is>
          <t>avverkningsanmälan</t>
        </is>
      </c>
      <c r="C114" t="inlineStr">
        <is>
          <t>Föryngringsavverkning</t>
        </is>
      </c>
      <c r="D114" s="1" t="n">
        <v>45911</v>
      </c>
      <c r="E114" s="1" t="n">
        <v>46311</v>
      </c>
      <c r="F114" t="inlineStr">
        <is>
          <t>ÖREBRO LÄN</t>
        </is>
      </c>
      <c r="G114" t="inlineStr">
        <is>
          <t>LEKEBERG</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18274-2024</t>
        </is>
      </c>
      <c r="B115" t="inlineStr">
        <is>
          <t>avverkningsanmälan</t>
        </is>
      </c>
      <c r="C115" t="inlineStr">
        <is>
          <t>Föryngringsavverkning</t>
        </is>
      </c>
      <c r="D115" s="1" t="n">
        <v>45421</v>
      </c>
      <c r="E115" s="1" t="n">
        <v>46311</v>
      </c>
      <c r="F115" t="inlineStr">
        <is>
          <t>ÖREBRO LÄN</t>
        </is>
      </c>
      <c r="G115" t="inlineStr">
        <is>
          <t>LEKEBERG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34885-2022</t>
        </is>
      </c>
      <c r="B116" t="inlineStr">
        <is>
          <t>avverkningsanmälan</t>
        </is>
      </c>
      <c r="C116" t="inlineStr">
        <is>
          <t>Föryngringsavverkning</t>
        </is>
      </c>
      <c r="D116" s="1" t="n">
        <v>44796</v>
      </c>
      <c r="E116" s="1" t="n">
        <v>46311</v>
      </c>
      <c r="F116" t="inlineStr">
        <is>
          <t>ÖREBRO LÄN</t>
        </is>
      </c>
      <c r="G116" t="inlineStr">
        <is>
          <t>LEKEBERG</t>
        </is>
      </c>
      <c r="I116" t="n">
        <v>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24913-2023</t>
        </is>
      </c>
      <c r="B117" t="inlineStr">
        <is>
          <t>avverkningsanmälan</t>
        </is>
      </c>
      <c r="C117" t="inlineStr">
        <is>
          <t>Föryngringsavverkning</t>
        </is>
      </c>
      <c r="D117" s="1" t="n">
        <v>45085</v>
      </c>
      <c r="E117" s="1" t="n">
        <v>46311</v>
      </c>
      <c r="F117" t="inlineStr">
        <is>
          <t>ÖREBRO LÄN</t>
        </is>
      </c>
      <c r="G117" t="inlineStr">
        <is>
          <t>LEKEBERG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40696-2022</t>
        </is>
      </c>
      <c r="B118" t="inlineStr">
        <is>
          <t>avverkningsanmälan</t>
        </is>
      </c>
      <c r="C118" t="inlineStr">
        <is>
          <t>Föryngringsavverkning</t>
        </is>
      </c>
      <c r="D118" s="1" t="n">
        <v>44824</v>
      </c>
      <c r="E118" s="1" t="n">
        <v>46311</v>
      </c>
      <c r="F118" t="inlineStr">
        <is>
          <t>ÖREBRO LÄN</t>
        </is>
      </c>
      <c r="G118" t="inlineStr">
        <is>
          <t>LEKEBERG</t>
        </is>
      </c>
      <c r="I118" t="n">
        <v>2.5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28579-2022</t>
        </is>
      </c>
      <c r="B119" t="inlineStr">
        <is>
          <t>avverkningsanmälan</t>
        </is>
      </c>
      <c r="C119" t="inlineStr">
        <is>
          <t>Föryngringsavverkning</t>
        </is>
      </c>
      <c r="D119" s="1" t="n">
        <v>44748</v>
      </c>
      <c r="E119" s="1" t="n">
        <v>46311</v>
      </c>
      <c r="F119" t="inlineStr">
        <is>
          <t>ÖREBRO LÄN</t>
        </is>
      </c>
      <c r="G119" t="inlineStr">
        <is>
          <t>LEKEBERG</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20800-2024</t>
        </is>
      </c>
      <c r="B120" t="inlineStr">
        <is>
          <t>avverkningsanmälan</t>
        </is>
      </c>
      <c r="C120" t="inlineStr">
        <is>
          <t>Föryngringsavverkning</t>
        </is>
      </c>
      <c r="D120" s="1" t="n">
        <v>45438</v>
      </c>
      <c r="E120" s="1" t="n">
        <v>46311</v>
      </c>
      <c r="F120" t="inlineStr">
        <is>
          <t>ÖREBRO LÄN</t>
        </is>
      </c>
      <c r="G120" t="inlineStr">
        <is>
          <t>LEKEBERG</t>
        </is>
      </c>
      <c r="I120" t="n">
        <v>3.6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22473-2026</t>
        </is>
      </c>
      <c r="B121" t="inlineStr">
        <is>
          <t>avverkningsanmälan</t>
        </is>
      </c>
      <c r="C121" t="inlineStr">
        <is>
          <t>Föryngringsavverkning</t>
        </is>
      </c>
      <c r="D121" s="1" t="n">
        <v>46155</v>
      </c>
      <c r="E121" s="1" t="n">
        <v>46311</v>
      </c>
      <c r="F121" t="inlineStr">
        <is>
          <t>ÖREBRO LÄN</t>
        </is>
      </c>
      <c r="G121" t="inlineStr">
        <is>
          <t>LEKEBERG</t>
        </is>
      </c>
      <c r="H121" t="inlineStr">
        <is>
          <t>Sveaskog</t>
        </is>
      </c>
      <c r="I121" t="n">
        <v>7.6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33262-2023</t>
        </is>
      </c>
      <c r="B122" t="inlineStr">
        <is>
          <t>avverkningsanmälan</t>
        </is>
      </c>
      <c r="C122" t="inlineStr">
        <is>
          <t>Föryngringsavverkning</t>
        </is>
      </c>
      <c r="D122" s="1" t="n">
        <v>45127</v>
      </c>
      <c r="E122" s="1" t="n">
        <v>46311</v>
      </c>
      <c r="F122" t="inlineStr">
        <is>
          <t>ÖREBRO LÄN</t>
        </is>
      </c>
      <c r="G122" t="inlineStr">
        <is>
          <t>LEKEBERG</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19178-2025</t>
        </is>
      </c>
      <c r="B123" t="inlineStr">
        <is>
          <t>avverkningsanmälan</t>
        </is>
      </c>
      <c r="C123" t="inlineStr">
        <is>
          <t>Föryngringsavverkning</t>
        </is>
      </c>
      <c r="D123" s="1" t="n">
        <v>45769</v>
      </c>
      <c r="E123" s="1" t="n">
        <v>46311</v>
      </c>
      <c r="F123" t="inlineStr">
        <is>
          <t>ÖREBRO LÄN</t>
        </is>
      </c>
      <c r="G123" t="inlineStr">
        <is>
          <t>LEKEBERG</t>
        </is>
      </c>
      <c r="I123" t="n">
        <v>3.6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12516-2025</t>
        </is>
      </c>
      <c r="B124" t="inlineStr">
        <is>
          <t>avverkningsanmälan</t>
        </is>
      </c>
      <c r="C124" t="inlineStr">
        <is>
          <t>Föryngringsavverkning</t>
        </is>
      </c>
      <c r="D124" s="1" t="n">
        <v>45730</v>
      </c>
      <c r="E124" s="1" t="n">
        <v>46311</v>
      </c>
      <c r="F124" t="inlineStr">
        <is>
          <t>ÖREBRO LÄN</t>
        </is>
      </c>
      <c r="G124" t="inlineStr">
        <is>
          <t>LEKEBERG</t>
        </is>
      </c>
      <c r="H124" t="inlineStr">
        <is>
          <t>Allmännings- och besparingsskogar</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30754-2022</t>
        </is>
      </c>
      <c r="B125" t="inlineStr">
        <is>
          <t>avverkningsanmälan</t>
        </is>
      </c>
      <c r="C125" t="inlineStr">
        <is>
          <t>Föryngringsavverkning</t>
        </is>
      </c>
      <c r="D125" s="1" t="n">
        <v>44764</v>
      </c>
      <c r="E125" s="1" t="n">
        <v>46311</v>
      </c>
      <c r="F125" t="inlineStr">
        <is>
          <t>ÖREBRO LÄN</t>
        </is>
      </c>
      <c r="G125" t="inlineStr">
        <is>
          <t>LEKEBERG</t>
        </is>
      </c>
      <c r="I125" t="n">
        <v>9.300000000000001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6101-2024</t>
        </is>
      </c>
      <c r="B126" t="inlineStr">
        <is>
          <t>avverkningsanmälan</t>
        </is>
      </c>
      <c r="C126" t="inlineStr">
        <is>
          <t>Föryngringsavverkning</t>
        </is>
      </c>
      <c r="D126" s="1" t="n">
        <v>45337</v>
      </c>
      <c r="E126" s="1" t="n">
        <v>46311</v>
      </c>
      <c r="F126" t="inlineStr">
        <is>
          <t>ÖREBRO LÄN</t>
        </is>
      </c>
      <c r="G126" t="inlineStr">
        <is>
          <t>LEKEBERG</t>
        </is>
      </c>
      <c r="I126" t="n">
        <v>4.2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18272-2024</t>
        </is>
      </c>
      <c r="B127" t="inlineStr">
        <is>
          <t>avverkningsanmälan</t>
        </is>
      </c>
      <c r="C127" t="inlineStr">
        <is>
          <t>Föryngringsavverkning</t>
        </is>
      </c>
      <c r="D127" s="1" t="n">
        <v>45421</v>
      </c>
      <c r="E127" s="1" t="n">
        <v>46311</v>
      </c>
      <c r="F127" t="inlineStr">
        <is>
          <t>ÖREBRO LÄN</t>
        </is>
      </c>
      <c r="G127" t="inlineStr">
        <is>
          <t>LEKEBERG</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23907-2026</t>
        </is>
      </c>
      <c r="B128" t="inlineStr">
        <is>
          <t>avverkningsanmälan</t>
        </is>
      </c>
      <c r="C128" t="inlineStr">
        <is>
          <t>Föryngringsavverkning</t>
        </is>
      </c>
      <c r="D128" s="1" t="n">
        <v>46167</v>
      </c>
      <c r="E128" s="1" t="n">
        <v>46311</v>
      </c>
      <c r="F128" t="inlineStr">
        <is>
          <t>ÖREBRO LÄN</t>
        </is>
      </c>
      <c r="G128" t="inlineStr">
        <is>
          <t>LEKEBERG</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37450-2024</t>
        </is>
      </c>
      <c r="B129" t="inlineStr">
        <is>
          <t>avverkningsanmälan</t>
        </is>
      </c>
      <c r="C129" t="inlineStr">
        <is>
          <t>Föryngringsavverkning</t>
        </is>
      </c>
      <c r="D129" s="1" t="n">
        <v>45540</v>
      </c>
      <c r="E129" s="1" t="n">
        <v>46311</v>
      </c>
      <c r="F129" t="inlineStr">
        <is>
          <t>ÖREBRO LÄN</t>
        </is>
      </c>
      <c r="G129" t="inlineStr">
        <is>
          <t>LEKEBERG</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27638-2025</t>
        </is>
      </c>
      <c r="B130" t="inlineStr">
        <is>
          <t>avverkningsanmälan</t>
        </is>
      </c>
      <c r="C130" t="inlineStr">
        <is>
          <t>Föryngringsavverkning</t>
        </is>
      </c>
      <c r="D130" s="1" t="n">
        <v>45813</v>
      </c>
      <c r="E130" s="1" t="n">
        <v>46311</v>
      </c>
      <c r="F130" t="inlineStr">
        <is>
          <t>ÖREBRO LÄN</t>
        </is>
      </c>
      <c r="G130" t="inlineStr">
        <is>
          <t>LEKEBERG</t>
        </is>
      </c>
      <c r="I130" t="n">
        <v>1.1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24920-2026</t>
        </is>
      </c>
      <c r="B131" t="inlineStr">
        <is>
          <t>avverkningsanmälan</t>
        </is>
      </c>
      <c r="C131" t="inlineStr">
        <is>
          <t>Föryngringsavverkning</t>
        </is>
      </c>
      <c r="D131" s="1" t="n">
        <v>46174</v>
      </c>
      <c r="E131" s="1" t="n">
        <v>46311</v>
      </c>
      <c r="F131" t="inlineStr">
        <is>
          <t>ÖREBRO LÄN</t>
        </is>
      </c>
      <c r="G131" t="inlineStr">
        <is>
          <t>LEKEBERG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24922-2026</t>
        </is>
      </c>
      <c r="B132" t="inlineStr">
        <is>
          <t>avverkningsanmälan</t>
        </is>
      </c>
      <c r="C132" t="inlineStr">
        <is>
          <t>Föryngringsavverkning</t>
        </is>
      </c>
      <c r="D132" s="1" t="n">
        <v>46174</v>
      </c>
      <c r="E132" s="1" t="n">
        <v>46311</v>
      </c>
      <c r="F132" t="inlineStr">
        <is>
          <t>ÖREBRO LÄN</t>
        </is>
      </c>
      <c r="G132" t="inlineStr">
        <is>
          <t>LEKEBERG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33907-2024</t>
        </is>
      </c>
      <c r="B133" t="inlineStr">
        <is>
          <t>avverkningsanmälan</t>
        </is>
      </c>
      <c r="C133" t="inlineStr">
        <is>
          <t>Föryngringsavverkning</t>
        </is>
      </c>
      <c r="D133" s="1" t="n">
        <v>45523</v>
      </c>
      <c r="E133" s="1" t="n">
        <v>46311</v>
      </c>
      <c r="F133" t="inlineStr">
        <is>
          <t>ÖREBRO LÄN</t>
        </is>
      </c>
      <c r="G133" t="inlineStr">
        <is>
          <t>LEKEBERG</t>
        </is>
      </c>
      <c r="I133" t="n">
        <v>3.3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33910-2024</t>
        </is>
      </c>
      <c r="B134" t="inlineStr">
        <is>
          <t>avverkningsanmälan</t>
        </is>
      </c>
      <c r="C134" t="inlineStr">
        <is>
          <t>Föryngringsavverkning</t>
        </is>
      </c>
      <c r="D134" s="1" t="n">
        <v>45523</v>
      </c>
      <c r="E134" s="1" t="n">
        <v>46311</v>
      </c>
      <c r="F134" t="inlineStr">
        <is>
          <t>ÖREBRO LÄN</t>
        </is>
      </c>
      <c r="G134" t="inlineStr">
        <is>
          <t>LEKEBERG</t>
        </is>
      </c>
      <c r="I134" t="n">
        <v>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5373-2024</t>
        </is>
      </c>
      <c r="B135" t="inlineStr">
        <is>
          <t>avverkningsanmälan</t>
        </is>
      </c>
      <c r="C135" t="inlineStr">
        <is>
          <t>Föryngringsavverkning</t>
        </is>
      </c>
      <c r="D135" s="1" t="n">
        <v>45331</v>
      </c>
      <c r="E135" s="1" t="n">
        <v>46311</v>
      </c>
      <c r="F135" t="inlineStr">
        <is>
          <t>ÖREBRO LÄN</t>
        </is>
      </c>
      <c r="G135" t="inlineStr">
        <is>
          <t>LEKEBERG</t>
        </is>
      </c>
      <c r="I135" t="n">
        <v>5.8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12140-2023</t>
        </is>
      </c>
      <c r="B136" t="inlineStr">
        <is>
          <t>avverkningsanmälan</t>
        </is>
      </c>
      <c r="C136" t="inlineStr">
        <is>
          <t>Föryngringsavverkning</t>
        </is>
      </c>
      <c r="D136" s="1" t="n">
        <v>44998</v>
      </c>
      <c r="E136" s="1" t="n">
        <v>46311</v>
      </c>
      <c r="F136" t="inlineStr">
        <is>
          <t>ÖREBRO LÄN</t>
        </is>
      </c>
      <c r="G136" t="inlineStr">
        <is>
          <t>LEKEBERG</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3602-2023</t>
        </is>
      </c>
      <c r="B137" t="inlineStr">
        <is>
          <t>avverkningsanmälan</t>
        </is>
      </c>
      <c r="C137" t="inlineStr">
        <is>
          <t>Föryngringsavverkning</t>
        </is>
      </c>
      <c r="D137" s="1" t="n">
        <v>44950</v>
      </c>
      <c r="E137" s="1" t="n">
        <v>46311</v>
      </c>
      <c r="F137" t="inlineStr">
        <is>
          <t>ÖREBRO LÄN</t>
        </is>
      </c>
      <c r="G137" t="inlineStr">
        <is>
          <t>LEKEBERG</t>
        </is>
      </c>
      <c r="I137" t="n">
        <v>2.6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11289-2023</t>
        </is>
      </c>
      <c r="B138" t="inlineStr">
        <is>
          <t>avverkningsanmälan</t>
        </is>
      </c>
      <c r="C138" t="inlineStr">
        <is>
          <t>Föryngringsavverkning</t>
        </is>
      </c>
      <c r="D138" s="1" t="n">
        <v>44992</v>
      </c>
      <c r="E138" s="1" t="n">
        <v>46311</v>
      </c>
      <c r="F138" t="inlineStr">
        <is>
          <t>ÖREBRO LÄN</t>
        </is>
      </c>
      <c r="G138" t="inlineStr">
        <is>
          <t>LEKEBERG</t>
        </is>
      </c>
      <c r="H138" t="inlineStr">
        <is>
          <t>Sveaskog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20344-2023</t>
        </is>
      </c>
      <c r="B139" t="inlineStr">
        <is>
          <t>avverkningsanmälan</t>
        </is>
      </c>
      <c r="C139" t="inlineStr">
        <is>
          <t>Föryngringsavverkning</t>
        </is>
      </c>
      <c r="D139" s="1" t="n">
        <v>45056</v>
      </c>
      <c r="E139" s="1" t="n">
        <v>46311</v>
      </c>
      <c r="F139" t="inlineStr">
        <is>
          <t>ÖREBRO LÄN</t>
        </is>
      </c>
      <c r="G139" t="inlineStr">
        <is>
          <t>LEKEBERG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26198-2026</t>
        </is>
      </c>
      <c r="B140" t="inlineStr">
        <is>
          <t>avverkningsanmälan</t>
        </is>
      </c>
      <c r="C140" t="inlineStr">
        <is>
          <t>Föryngringsavverkning</t>
        </is>
      </c>
      <c r="D140" s="1" t="n">
        <v>46182</v>
      </c>
      <c r="E140" s="1" t="n">
        <v>46311</v>
      </c>
      <c r="F140" t="inlineStr">
        <is>
          <t>ÖREBRO LÄN</t>
        </is>
      </c>
      <c r="G140" t="inlineStr">
        <is>
          <t>LEKEBERG</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1607-2023</t>
        </is>
      </c>
      <c r="B141" t="inlineStr">
        <is>
          <t>avverkningsanmälan</t>
        </is>
      </c>
      <c r="C141" t="inlineStr">
        <is>
          <t>Föryngringsavverkning</t>
        </is>
      </c>
      <c r="D141" s="1" t="n">
        <v>44937</v>
      </c>
      <c r="E141" s="1" t="n">
        <v>46311</v>
      </c>
      <c r="F141" t="inlineStr">
        <is>
          <t>ÖREBRO LÄN</t>
        </is>
      </c>
      <c r="G141" t="inlineStr">
        <is>
          <t>LEKEBERG</t>
        </is>
      </c>
      <c r="I141" t="n">
        <v>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27384-2026</t>
        </is>
      </c>
      <c r="B142" t="inlineStr">
        <is>
          <t>avverkningsanmälan</t>
        </is>
      </c>
      <c r="C142" t="inlineStr">
        <is>
          <t>Föryngringsavverkning</t>
        </is>
      </c>
      <c r="D142" s="1" t="n">
        <v>46189</v>
      </c>
      <c r="E142" s="1" t="n">
        <v>46311</v>
      </c>
      <c r="F142" t="inlineStr">
        <is>
          <t>ÖREBRO LÄN</t>
        </is>
      </c>
      <c r="G142" t="inlineStr">
        <is>
          <t>LEKEBERG</t>
        </is>
      </c>
      <c r="H142" t="inlineStr">
        <is>
          <t>Sveaskog</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27388-2026</t>
        </is>
      </c>
      <c r="B143" t="inlineStr">
        <is>
          <t>avverkningsanmälan</t>
        </is>
      </c>
      <c r="C143" t="inlineStr">
        <is>
          <t>Föryngringsavverkning</t>
        </is>
      </c>
      <c r="D143" s="1" t="n">
        <v>46189</v>
      </c>
      <c r="E143" s="1" t="n">
        <v>46311</v>
      </c>
      <c r="F143" t="inlineStr">
        <is>
          <t>ÖREBRO LÄN</t>
        </is>
      </c>
      <c r="G143" t="inlineStr">
        <is>
          <t>LEKEBERG</t>
        </is>
      </c>
      <c r="H143" t="inlineStr">
        <is>
          <t>Sveaskog</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27391-2026</t>
        </is>
      </c>
      <c r="B144" t="inlineStr">
        <is>
          <t>avverkningsanmälan</t>
        </is>
      </c>
      <c r="C144" t="inlineStr">
        <is>
          <t>Föryngringsavverkning</t>
        </is>
      </c>
      <c r="D144" s="1" t="n">
        <v>46189</v>
      </c>
      <c r="E144" s="1" t="n">
        <v>46311</v>
      </c>
      <c r="F144" t="inlineStr">
        <is>
          <t>ÖREBRO LÄN</t>
        </is>
      </c>
      <c r="G144" t="inlineStr">
        <is>
          <t>LEKEBERG</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27492-2026</t>
        </is>
      </c>
      <c r="B145" t="inlineStr">
        <is>
          <t>avverkningsanmälan</t>
        </is>
      </c>
      <c r="C145" t="inlineStr">
        <is>
          <t>Föryngringsavverkning</t>
        </is>
      </c>
      <c r="D145" s="1" t="n">
        <v>46189</v>
      </c>
      <c r="E145" s="1" t="n">
        <v>46311</v>
      </c>
      <c r="F145" t="inlineStr">
        <is>
          <t>ÖREBRO LÄN</t>
        </is>
      </c>
      <c r="G145" t="inlineStr">
        <is>
          <t>LEKEBERG</t>
        </is>
      </c>
      <c r="I145" t="n">
        <v>10.7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27387-2026</t>
        </is>
      </c>
      <c r="B146" t="inlineStr">
        <is>
          <t>avverkningsanmälan</t>
        </is>
      </c>
      <c r="C146" t="inlineStr">
        <is>
          <t>Föryngringsavverkning</t>
        </is>
      </c>
      <c r="D146" s="1" t="n">
        <v>46189</v>
      </c>
      <c r="E146" s="1" t="n">
        <v>46311</v>
      </c>
      <c r="F146" t="inlineStr">
        <is>
          <t>ÖREBRO LÄN</t>
        </is>
      </c>
      <c r="G146" t="inlineStr">
        <is>
          <t>LEKEBERG</t>
        </is>
      </c>
      <c r="H146" t="inlineStr">
        <is>
          <t>Sveaskog</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27390-2026</t>
        </is>
      </c>
      <c r="B147" t="inlineStr">
        <is>
          <t>avverkningsanmälan</t>
        </is>
      </c>
      <c r="C147" t="inlineStr">
        <is>
          <t>Föryngringsavverkning</t>
        </is>
      </c>
      <c r="D147" s="1" t="n">
        <v>46189</v>
      </c>
      <c r="E147" s="1" t="n">
        <v>46311</v>
      </c>
      <c r="F147" t="inlineStr">
        <is>
          <t>ÖREBRO LÄN</t>
        </is>
      </c>
      <c r="G147" t="inlineStr">
        <is>
          <t>LEKEBERG</t>
        </is>
      </c>
      <c r="H147" t="inlineStr">
        <is>
          <t>Sveaskog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27940-2026</t>
        </is>
      </c>
      <c r="B148" t="inlineStr">
        <is>
          <t>avverkningsanmälan</t>
        </is>
      </c>
      <c r="C148" t="inlineStr">
        <is>
          <t>Föryngringsavverkning</t>
        </is>
      </c>
      <c r="D148" s="1" t="n">
        <v>46191</v>
      </c>
      <c r="E148" s="1" t="n">
        <v>46311</v>
      </c>
      <c r="F148" t="inlineStr">
        <is>
          <t>ÖREBRO LÄN</t>
        </is>
      </c>
      <c r="G148" t="inlineStr">
        <is>
          <t>LEKEBERG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27575-2026</t>
        </is>
      </c>
      <c r="B149" t="inlineStr">
        <is>
          <t>avverkningsanmälan</t>
        </is>
      </c>
      <c r="C149" t="inlineStr">
        <is>
          <t>Föryngringsavverkning</t>
        </is>
      </c>
      <c r="D149" s="1" t="n">
        <v>46190</v>
      </c>
      <c r="E149" s="1" t="n">
        <v>46311</v>
      </c>
      <c r="F149" t="inlineStr">
        <is>
          <t>ÖREBRO LÄN</t>
        </is>
      </c>
      <c r="G149" t="inlineStr">
        <is>
          <t>LEKEBERG</t>
        </is>
      </c>
      <c r="H149" t="inlineStr">
        <is>
          <t>Sveaskog</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27577-2026</t>
        </is>
      </c>
      <c r="B150" t="inlineStr">
        <is>
          <t>avverkningsanmälan</t>
        </is>
      </c>
      <c r="C150" t="inlineStr">
        <is>
          <t>Föryngringsavverkning</t>
        </is>
      </c>
      <c r="D150" s="1" t="n">
        <v>46190</v>
      </c>
      <c r="E150" s="1" t="n">
        <v>46311</v>
      </c>
      <c r="F150" t="inlineStr">
        <is>
          <t>ÖREBRO LÄN</t>
        </is>
      </c>
      <c r="G150" t="inlineStr">
        <is>
          <t>LEKEBERG</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64615-2023</t>
        </is>
      </c>
      <c r="B151" t="inlineStr">
        <is>
          <t>avverkningsanmälan</t>
        </is>
      </c>
      <c r="C151" t="inlineStr">
        <is>
          <t>Föryngringsavverkning</t>
        </is>
      </c>
      <c r="D151" s="1" t="n">
        <v>45281</v>
      </c>
      <c r="E151" s="1" t="n">
        <v>46311</v>
      </c>
      <c r="F151" t="inlineStr">
        <is>
          <t>ÖREBRO LÄN</t>
        </is>
      </c>
      <c r="G151" t="inlineStr">
        <is>
          <t>LEKEBERG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28178-2026</t>
        </is>
      </c>
      <c r="B152" t="inlineStr">
        <is>
          <t>avverkningsanmälan</t>
        </is>
      </c>
      <c r="C152" t="inlineStr">
        <is>
          <t>Föryngringsavverkning</t>
        </is>
      </c>
      <c r="D152" s="1" t="n">
        <v>46195</v>
      </c>
      <c r="E152" s="1" t="n">
        <v>46311</v>
      </c>
      <c r="F152" t="inlineStr">
        <is>
          <t>ÖREBRO LÄN</t>
        </is>
      </c>
      <c r="G152" t="inlineStr">
        <is>
          <t>LEKEBERG</t>
        </is>
      </c>
      <c r="H152" t="inlineStr">
        <is>
          <t>Sveaskog</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41551-2024</t>
        </is>
      </c>
      <c r="B153" t="inlineStr">
        <is>
          <t>avverkningsanmälan</t>
        </is>
      </c>
      <c r="C153" t="inlineStr">
        <is>
          <t>Föryngringsavverkning</t>
        </is>
      </c>
      <c r="D153" s="1" t="n">
        <v>45560</v>
      </c>
      <c r="E153" s="1" t="n">
        <v>46311</v>
      </c>
      <c r="F153" t="inlineStr">
        <is>
          <t>ÖREBRO LÄN</t>
        </is>
      </c>
      <c r="G153" t="inlineStr">
        <is>
          <t>LEKEBERG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28475-2026</t>
        </is>
      </c>
      <c r="B154" t="inlineStr">
        <is>
          <t>avverkningsanmälan</t>
        </is>
      </c>
      <c r="C154" t="inlineStr">
        <is>
          <t>Föryngringsavverkning</t>
        </is>
      </c>
      <c r="D154" s="1" t="n">
        <v>46197</v>
      </c>
      <c r="E154" s="1" t="n">
        <v>46311</v>
      </c>
      <c r="F154" t="inlineStr">
        <is>
          <t>ÖREBRO LÄN</t>
        </is>
      </c>
      <c r="G154" t="inlineStr">
        <is>
          <t>LEKEBERG</t>
        </is>
      </c>
      <c r="I154" t="n">
        <v>1.5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26121-2023</t>
        </is>
      </c>
      <c r="B155" t="inlineStr">
        <is>
          <t>avverkningsanmälan</t>
        </is>
      </c>
      <c r="C155" t="inlineStr">
        <is>
          <t>Föryngringsavverkning</t>
        </is>
      </c>
      <c r="D155" s="1" t="n">
        <v>45091</v>
      </c>
      <c r="E155" s="1" t="n">
        <v>46311</v>
      </c>
      <c r="F155" t="inlineStr">
        <is>
          <t>ÖREBRO LÄN</t>
        </is>
      </c>
      <c r="G155" t="inlineStr">
        <is>
          <t>LEKEBERG</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28477-2026</t>
        </is>
      </c>
      <c r="B156" t="inlineStr">
        <is>
          <t>avverkningsanmälan</t>
        </is>
      </c>
      <c r="C156" t="inlineStr">
        <is>
          <t>Föryngringsavverkning</t>
        </is>
      </c>
      <c r="D156" s="1" t="n">
        <v>46197</v>
      </c>
      <c r="E156" s="1" t="n">
        <v>46311</v>
      </c>
      <c r="F156" t="inlineStr">
        <is>
          <t>ÖREBRO LÄN</t>
        </is>
      </c>
      <c r="G156" t="inlineStr">
        <is>
          <t>LEKEBERG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28876-2026</t>
        </is>
      </c>
      <c r="B157" t="inlineStr">
        <is>
          <t>avverkningsanmälan</t>
        </is>
      </c>
      <c r="C157" t="inlineStr">
        <is>
          <t>Föryngringsavverkning</t>
        </is>
      </c>
      <c r="D157" s="1" t="n">
        <v>46199</v>
      </c>
      <c r="E157" s="1" t="n">
        <v>46311</v>
      </c>
      <c r="F157" t="inlineStr">
        <is>
          <t>ÖREBRO LÄN</t>
        </is>
      </c>
      <c r="G157" t="inlineStr">
        <is>
          <t>LEKEBERG</t>
        </is>
      </c>
      <c r="H157" t="inlineStr">
        <is>
          <t>Sveaskog</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28874-2026</t>
        </is>
      </c>
      <c r="B158" t="inlineStr">
        <is>
          <t>avverkningsanmälan</t>
        </is>
      </c>
      <c r="C158" t="inlineStr">
        <is>
          <t>Föryngringsavverkning</t>
        </is>
      </c>
      <c r="D158" s="1" t="n">
        <v>46199</v>
      </c>
      <c r="E158" s="1" t="n">
        <v>46311</v>
      </c>
      <c r="F158" t="inlineStr">
        <is>
          <t>ÖREBRO LÄN</t>
        </is>
      </c>
      <c r="G158" t="inlineStr">
        <is>
          <t>LEKEBERG</t>
        </is>
      </c>
      <c r="H158" t="inlineStr">
        <is>
          <t>Sveaskog</t>
        </is>
      </c>
      <c r="I158" t="n">
        <v>9.4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28875-2026</t>
        </is>
      </c>
      <c r="B159" t="inlineStr">
        <is>
          <t>avverkningsanmälan</t>
        </is>
      </c>
      <c r="C159" t="inlineStr">
        <is>
          <t>Föryngringsavverkning</t>
        </is>
      </c>
      <c r="D159" s="1" t="n">
        <v>46199</v>
      </c>
      <c r="E159" s="1" t="n">
        <v>46311</v>
      </c>
      <c r="F159" t="inlineStr">
        <is>
          <t>ÖREBRO LÄN</t>
        </is>
      </c>
      <c r="G159" t="inlineStr">
        <is>
          <t>LEKEBERG</t>
        </is>
      </c>
      <c r="H159" t="inlineStr">
        <is>
          <t>Sveaskog</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29263-2026</t>
        </is>
      </c>
      <c r="B160" t="inlineStr">
        <is>
          <t>avverkningsanmälan</t>
        </is>
      </c>
      <c r="C160" t="inlineStr">
        <is>
          <t>Föryngringsavverkning</t>
        </is>
      </c>
      <c r="D160" s="1" t="n">
        <v>46202</v>
      </c>
      <c r="E160" s="1" t="n">
        <v>46311</v>
      </c>
      <c r="F160" t="inlineStr">
        <is>
          <t>ÖREBRO LÄN</t>
        </is>
      </c>
      <c r="G160" t="inlineStr">
        <is>
          <t>LEKEBERG</t>
        </is>
      </c>
      <c r="H160" t="inlineStr">
        <is>
          <t>Sveaskog</t>
        </is>
      </c>
      <c r="I160" t="n">
        <v>4.5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12963-2023</t>
        </is>
      </c>
      <c r="B161" t="inlineStr">
        <is>
          <t>avverkningsanmälan</t>
        </is>
      </c>
      <c r="C161" t="inlineStr">
        <is>
          <t>Föryngringsavverkning</t>
        </is>
      </c>
      <c r="D161" s="1" t="n">
        <v>45001</v>
      </c>
      <c r="E161" s="1" t="n">
        <v>46311</v>
      </c>
      <c r="F161" t="inlineStr">
        <is>
          <t>ÖREBRO LÄN</t>
        </is>
      </c>
      <c r="G161" t="inlineStr">
        <is>
          <t>LEKEBERG</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10746-2023</t>
        </is>
      </c>
      <c r="B162" t="inlineStr">
        <is>
          <t>avverkningsanmälan</t>
        </is>
      </c>
      <c r="C162" t="inlineStr">
        <is>
          <t>Föryngringsavverkning</t>
        </is>
      </c>
      <c r="D162" s="1" t="n">
        <v>44988</v>
      </c>
      <c r="E162" s="1" t="n">
        <v>46311</v>
      </c>
      <c r="F162" t="inlineStr">
        <is>
          <t>ÖREBRO LÄN</t>
        </is>
      </c>
      <c r="G162" t="inlineStr">
        <is>
          <t>LEKEBERG</t>
        </is>
      </c>
      <c r="H162" t="inlineStr">
        <is>
          <t>Sveaskog</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2175-2024</t>
        </is>
      </c>
      <c r="B163" t="inlineStr">
        <is>
          <t>avverkningsanmälan</t>
        </is>
      </c>
      <c r="C163" t="inlineStr">
        <is>
          <t>Föryngringsavverkning</t>
        </is>
      </c>
      <c r="D163" s="1" t="n">
        <v>45309</v>
      </c>
      <c r="E163" s="1" t="n">
        <v>46311</v>
      </c>
      <c r="F163" t="inlineStr">
        <is>
          <t>ÖREBRO LÄN</t>
        </is>
      </c>
      <c r="G163" t="inlineStr">
        <is>
          <t>LEKEBERG</t>
        </is>
      </c>
      <c r="I163" t="n">
        <v>3.8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31359-2026</t>
        </is>
      </c>
      <c r="B164" t="inlineStr">
        <is>
          <t>avverkningsanmälan</t>
        </is>
      </c>
      <c r="C164" t="inlineStr">
        <is>
          <t>Föryngringsavverkning</t>
        </is>
      </c>
      <c r="D164" s="1" t="n">
        <v>46219</v>
      </c>
      <c r="E164" s="1" t="n">
        <v>46311</v>
      </c>
      <c r="F164" t="inlineStr">
        <is>
          <t>ÖREBRO LÄN</t>
        </is>
      </c>
      <c r="G164" t="inlineStr">
        <is>
          <t>LEKEBERG</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31361-2026</t>
        </is>
      </c>
      <c r="B165" t="inlineStr">
        <is>
          <t>avverkningsanmälan</t>
        </is>
      </c>
      <c r="C165" t="inlineStr">
        <is>
          <t>Föryngringsavverkning</t>
        </is>
      </c>
      <c r="D165" s="1" t="n">
        <v>46219</v>
      </c>
      <c r="E165" s="1" t="n">
        <v>46311</v>
      </c>
      <c r="F165" t="inlineStr">
        <is>
          <t>ÖREBRO LÄN</t>
        </is>
      </c>
      <c r="G165" t="inlineStr">
        <is>
          <t>LEKEBERG</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31360-2026</t>
        </is>
      </c>
      <c r="B166" t="inlineStr">
        <is>
          <t>avverkningsanmälan</t>
        </is>
      </c>
      <c r="C166" t="inlineStr">
        <is>
          <t>Föryngringsavverkning</t>
        </is>
      </c>
      <c r="D166" s="1" t="n">
        <v>46219</v>
      </c>
      <c r="E166" s="1" t="n">
        <v>46311</v>
      </c>
      <c r="F166" t="inlineStr">
        <is>
          <t>ÖREBRO LÄN</t>
        </is>
      </c>
      <c r="G166" t="inlineStr">
        <is>
          <t>LEKEBERG</t>
        </is>
      </c>
      <c r="I166" t="n">
        <v>3.6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31478-2026</t>
        </is>
      </c>
      <c r="B167" t="inlineStr">
        <is>
          <t>avverkningsanmälan</t>
        </is>
      </c>
      <c r="C167" t="inlineStr">
        <is>
          <t>Föryngringsavverkning</t>
        </is>
      </c>
      <c r="D167" s="1" t="n">
        <v>46222</v>
      </c>
      <c r="E167" s="1" t="n">
        <v>46311</v>
      </c>
      <c r="F167" t="inlineStr">
        <is>
          <t>ÖREBRO LÄN</t>
        </is>
      </c>
      <c r="G167" t="inlineStr">
        <is>
          <t>LEKEBERG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18400-2025</t>
        </is>
      </c>
      <c r="B168" t="inlineStr">
        <is>
          <t>avverkningsanmälan</t>
        </is>
      </c>
      <c r="C168" t="inlineStr">
        <is>
          <t>Föryngringsavverkning</t>
        </is>
      </c>
      <c r="D168" s="1" t="n">
        <v>45762</v>
      </c>
      <c r="E168" s="1" t="n">
        <v>46311</v>
      </c>
      <c r="F168" t="inlineStr">
        <is>
          <t>ÖREBRO LÄN</t>
        </is>
      </c>
      <c r="G168" t="inlineStr">
        <is>
          <t>LEKEBERG</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39875-2024</t>
        </is>
      </c>
      <c r="B169" t="inlineStr">
        <is>
          <t>avverkningsanmälan</t>
        </is>
      </c>
      <c r="C169" t="inlineStr">
        <is>
          <t>Föryngringsavverkning</t>
        </is>
      </c>
      <c r="D169" s="1" t="n">
        <v>45553</v>
      </c>
      <c r="E169" s="1" t="n">
        <v>46311</v>
      </c>
      <c r="F169" t="inlineStr">
        <is>
          <t>ÖREBRO LÄN</t>
        </is>
      </c>
      <c r="G169" t="inlineStr">
        <is>
          <t>LEKEBERG</t>
        </is>
      </c>
      <c r="H169" t="inlineStr">
        <is>
          <t>Sveaskog</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39878-2024</t>
        </is>
      </c>
      <c r="B170" t="inlineStr">
        <is>
          <t>avverkningsanmälan</t>
        </is>
      </c>
      <c r="C170" t="inlineStr">
        <is>
          <t>Föryngringsavverkning</t>
        </is>
      </c>
      <c r="D170" s="1" t="n">
        <v>45553</v>
      </c>
      <c r="E170" s="1" t="n">
        <v>46311</v>
      </c>
      <c r="F170" t="inlineStr">
        <is>
          <t>ÖREBRO LÄN</t>
        </is>
      </c>
      <c r="G170" t="inlineStr">
        <is>
          <t>LEKEBERG</t>
        </is>
      </c>
      <c r="H170" t="inlineStr">
        <is>
          <t>Sveaskog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56282-2023</t>
        </is>
      </c>
      <c r="B171" t="inlineStr">
        <is>
          <t>avverkningsanmälan</t>
        </is>
      </c>
      <c r="C171" t="inlineStr">
        <is>
          <t>Föryngringsavverkning</t>
        </is>
      </c>
      <c r="D171" s="1" t="n">
        <v>45241</v>
      </c>
      <c r="E171" s="1" t="n">
        <v>46311</v>
      </c>
      <c r="F171" t="inlineStr">
        <is>
          <t>ÖREBRO LÄN</t>
        </is>
      </c>
      <c r="G171" t="inlineStr">
        <is>
          <t>LEKEBERG</t>
        </is>
      </c>
      <c r="I171" t="n">
        <v>6.8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14702-2023</t>
        </is>
      </c>
      <c r="B172" t="inlineStr">
        <is>
          <t>avverkningsanmälan</t>
        </is>
      </c>
      <c r="C172" t="inlineStr">
        <is>
          <t>Föryngringsavverkning</t>
        </is>
      </c>
      <c r="D172" s="1" t="n">
        <v>45014</v>
      </c>
      <c r="E172" s="1" t="n">
        <v>46311</v>
      </c>
      <c r="F172" t="inlineStr">
        <is>
          <t>ÖREBRO LÄN</t>
        </is>
      </c>
      <c r="G172" t="inlineStr">
        <is>
          <t>LEKEBERG</t>
        </is>
      </c>
      <c r="I172" t="n">
        <v>12.1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36991-2026</t>
        </is>
      </c>
      <c r="B173" t="inlineStr">
        <is>
          <t>avverkningsanmälan</t>
        </is>
      </c>
      <c r="C173" t="inlineStr">
        <is>
          <t>Föryngringsavverkning</t>
        </is>
      </c>
      <c r="D173" s="1" t="n">
        <v>46273</v>
      </c>
      <c r="E173" s="1" t="n">
        <v>46311</v>
      </c>
      <c r="F173" t="inlineStr">
        <is>
          <t>ÖREBRO LÄN</t>
        </is>
      </c>
      <c r="G173" t="inlineStr">
        <is>
          <t>LEKEBERG</t>
        </is>
      </c>
      <c r="H173" t="inlineStr">
        <is>
          <t>Sveaskog</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36994-2026</t>
        </is>
      </c>
      <c r="B174" t="inlineStr">
        <is>
          <t>avverkningsanmälan</t>
        </is>
      </c>
      <c r="C174" t="inlineStr">
        <is>
          <t>Föryngringsavverkning</t>
        </is>
      </c>
      <c r="D174" s="1" t="n">
        <v>46273</v>
      </c>
      <c r="E174" s="1" t="n">
        <v>46311</v>
      </c>
      <c r="F174" t="inlineStr">
        <is>
          <t>ÖREBRO LÄN</t>
        </is>
      </c>
      <c r="G174" t="inlineStr">
        <is>
          <t>LEKEBERG</t>
        </is>
      </c>
      <c r="H174" t="inlineStr">
        <is>
          <t>Sveaskog</t>
        </is>
      </c>
      <c r="I174" t="n">
        <v>3.1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36998-2026</t>
        </is>
      </c>
      <c r="B175" t="inlineStr">
        <is>
          <t>avverkningsanmälan</t>
        </is>
      </c>
      <c r="C175" t="inlineStr">
        <is>
          <t>Föryngringsavverkning</t>
        </is>
      </c>
      <c r="D175" s="1" t="n">
        <v>46273</v>
      </c>
      <c r="E175" s="1" t="n">
        <v>46311</v>
      </c>
      <c r="F175" t="inlineStr">
        <is>
          <t>ÖREBRO LÄN</t>
        </is>
      </c>
      <c r="G175" t="inlineStr">
        <is>
          <t>LEKEBERG</t>
        </is>
      </c>
      <c r="H175" t="inlineStr">
        <is>
          <t>Sveaskog</t>
        </is>
      </c>
      <c r="I175" t="n">
        <v>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36999-2026</t>
        </is>
      </c>
      <c r="B176" t="inlineStr">
        <is>
          <t>avverkningsanmälan</t>
        </is>
      </c>
      <c r="C176" t="inlineStr">
        <is>
          <t>Föryngringsavverkning</t>
        </is>
      </c>
      <c r="D176" s="1" t="n">
        <v>46273</v>
      </c>
      <c r="E176" s="1" t="n">
        <v>46311</v>
      </c>
      <c r="F176" t="inlineStr">
        <is>
          <t>ÖREBRO LÄN</t>
        </is>
      </c>
      <c r="G176" t="inlineStr">
        <is>
          <t>LEKEBERG</t>
        </is>
      </c>
      <c r="H176" t="inlineStr">
        <is>
          <t>Sveaskog</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37001-2026</t>
        </is>
      </c>
      <c r="B177" t="inlineStr">
        <is>
          <t>avverkningsanmälan</t>
        </is>
      </c>
      <c r="C177" t="inlineStr">
        <is>
          <t>Föryngringsavverkning</t>
        </is>
      </c>
      <c r="D177" s="1" t="n">
        <v>46273</v>
      </c>
      <c r="E177" s="1" t="n">
        <v>46311</v>
      </c>
      <c r="F177" t="inlineStr">
        <is>
          <t>ÖREBRO LÄN</t>
        </is>
      </c>
      <c r="G177" t="inlineStr">
        <is>
          <t>LEKEBERG</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37008-2026</t>
        </is>
      </c>
      <c r="B178" t="inlineStr">
        <is>
          <t>avverkningsanmälan</t>
        </is>
      </c>
      <c r="C178" t="inlineStr">
        <is>
          <t>Föryngringsavverkning</t>
        </is>
      </c>
      <c r="D178" s="1" t="n">
        <v>46273</v>
      </c>
      <c r="E178" s="1" t="n">
        <v>46311</v>
      </c>
      <c r="F178" t="inlineStr">
        <is>
          <t>ÖREBRO LÄN</t>
        </is>
      </c>
      <c r="G178" t="inlineStr">
        <is>
          <t>LEKEBERG</t>
        </is>
      </c>
      <c r="H178" t="inlineStr">
        <is>
          <t>Sveaskog</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21886-2023</t>
        </is>
      </c>
      <c r="B179" t="inlineStr">
        <is>
          <t>avverkningsanmälan</t>
        </is>
      </c>
      <c r="C179" t="inlineStr">
        <is>
          <t>Föryngringsavverkning</t>
        </is>
      </c>
      <c r="D179" s="1" t="n">
        <v>45068</v>
      </c>
      <c r="E179" s="1" t="n">
        <v>46311</v>
      </c>
      <c r="F179" t="inlineStr">
        <is>
          <t>ÖREBRO LÄN</t>
        </is>
      </c>
      <c r="G179" t="inlineStr">
        <is>
          <t>LEKEBERG</t>
        </is>
      </c>
      <c r="I179" t="n">
        <v>2.1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21886-2023</t>
        </is>
      </c>
      <c r="B180" t="inlineStr">
        <is>
          <t>avverkningsanmälan</t>
        </is>
      </c>
      <c r="C180" t="inlineStr">
        <is>
          <t>Föryngringsavverkning</t>
        </is>
      </c>
      <c r="D180" s="1" t="n">
        <v>45068</v>
      </c>
      <c r="E180" s="1" t="n">
        <v>46311</v>
      </c>
      <c r="F180" t="inlineStr">
        <is>
          <t>ÖREBRO LÄN</t>
        </is>
      </c>
      <c r="G180" t="inlineStr">
        <is>
          <t>LEKEBERG</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37251-2026</t>
        </is>
      </c>
      <c r="B181" t="inlineStr">
        <is>
          <t>avverkningsanmälan</t>
        </is>
      </c>
      <c r="C181" t="inlineStr">
        <is>
          <t>Föryngringsavverkning</t>
        </is>
      </c>
      <c r="D181" s="1" t="n">
        <v>46274</v>
      </c>
      <c r="E181" s="1" t="n">
        <v>46311</v>
      </c>
      <c r="F181" t="inlineStr">
        <is>
          <t>ÖREBRO LÄN</t>
        </is>
      </c>
      <c r="G181" t="inlineStr">
        <is>
          <t>LEKEBERG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31814-2026</t>
        </is>
      </c>
      <c r="B182" t="inlineStr">
        <is>
          <t>avverkningsanmälan</t>
        </is>
      </c>
      <c r="C182" t="inlineStr">
        <is>
          <t>Föryngringsavverkning</t>
        </is>
      </c>
      <c r="D182" s="1" t="n">
        <v>46230</v>
      </c>
      <c r="E182" s="1" t="n">
        <v>46311</v>
      </c>
      <c r="F182" t="inlineStr">
        <is>
          <t>ÖREBRO LÄN</t>
        </is>
      </c>
      <c r="G182" t="inlineStr">
        <is>
          <t>LEKEBERG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36992-2026</t>
        </is>
      </c>
      <c r="B183" t="inlineStr">
        <is>
          <t>avverkningsanmälan</t>
        </is>
      </c>
      <c r="C183" t="inlineStr">
        <is>
          <t>Föryngringsavverkning</t>
        </is>
      </c>
      <c r="D183" s="1" t="n">
        <v>46273</v>
      </c>
      <c r="E183" s="1" t="n">
        <v>46311</v>
      </c>
      <c r="F183" t="inlineStr">
        <is>
          <t>ÖREBRO LÄN</t>
        </is>
      </c>
      <c r="G183" t="inlineStr">
        <is>
          <t>LEKEBERG</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37003-2026</t>
        </is>
      </c>
      <c r="B184" t="inlineStr">
        <is>
          <t>avverkningsanmälan</t>
        </is>
      </c>
      <c r="C184" t="inlineStr">
        <is>
          <t>Föryngringsavverkning</t>
        </is>
      </c>
      <c r="D184" s="1" t="n">
        <v>46273</v>
      </c>
      <c r="E184" s="1" t="n">
        <v>46311</v>
      </c>
      <c r="F184" t="inlineStr">
        <is>
          <t>ÖREBRO LÄN</t>
        </is>
      </c>
      <c r="G184" t="inlineStr">
        <is>
          <t>LEKEBERG</t>
        </is>
      </c>
      <c r="H184" t="inlineStr">
        <is>
          <t>Sveaskog</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31816-2026</t>
        </is>
      </c>
      <c r="B185" t="inlineStr">
        <is>
          <t>avverkningsanmälan</t>
        </is>
      </c>
      <c r="C185" t="inlineStr">
        <is>
          <t>Föryngringsavverkning</t>
        </is>
      </c>
      <c r="D185" s="1" t="n">
        <v>46230</v>
      </c>
      <c r="E185" s="1" t="n">
        <v>46311</v>
      </c>
      <c r="F185" t="inlineStr">
        <is>
          <t>ÖREBRO LÄN</t>
        </is>
      </c>
      <c r="G185" t="inlineStr">
        <is>
          <t>LEKEBERG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37004-2026</t>
        </is>
      </c>
      <c r="B186" t="inlineStr">
        <is>
          <t>avverkningsanmälan</t>
        </is>
      </c>
      <c r="C186" t="inlineStr">
        <is>
          <t>Föryngringsavverkning</t>
        </is>
      </c>
      <c r="D186" s="1" t="n">
        <v>46273</v>
      </c>
      <c r="E186" s="1" t="n">
        <v>46311</v>
      </c>
      <c r="F186" t="inlineStr">
        <is>
          <t>ÖREBRO LÄN</t>
        </is>
      </c>
      <c r="G186" t="inlineStr">
        <is>
          <t>LEKEBERG</t>
        </is>
      </c>
      <c r="H186" t="inlineStr">
        <is>
          <t>Sveaskog</t>
        </is>
      </c>
      <c r="I186" t="n">
        <v>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37005-2026</t>
        </is>
      </c>
      <c r="B187" t="inlineStr">
        <is>
          <t>avverkningsanmälan</t>
        </is>
      </c>
      <c r="C187" t="inlineStr">
        <is>
          <t>Föryngringsavverkning</t>
        </is>
      </c>
      <c r="D187" s="1" t="n">
        <v>46273</v>
      </c>
      <c r="E187" s="1" t="n">
        <v>46311</v>
      </c>
      <c r="F187" t="inlineStr">
        <is>
          <t>ÖREBRO LÄN</t>
        </is>
      </c>
      <c r="G187" t="inlineStr">
        <is>
          <t>LEKEBERG</t>
        </is>
      </c>
      <c r="H187" t="inlineStr">
        <is>
          <t>Sveaskog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37007-2026</t>
        </is>
      </c>
      <c r="B188" t="inlineStr">
        <is>
          <t>avverkningsanmälan</t>
        </is>
      </c>
      <c r="C188" t="inlineStr">
        <is>
          <t>Föryngringsavverkning</t>
        </is>
      </c>
      <c r="D188" s="1" t="n">
        <v>46273</v>
      </c>
      <c r="E188" s="1" t="n">
        <v>46311</v>
      </c>
      <c r="F188" t="inlineStr">
        <is>
          <t>ÖREBRO LÄN</t>
        </is>
      </c>
      <c r="G188" t="inlineStr">
        <is>
          <t>LEKEBERG</t>
        </is>
      </c>
      <c r="H188" t="inlineStr">
        <is>
          <t>Sveaskog</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36996-2026</t>
        </is>
      </c>
      <c r="B189" t="inlineStr">
        <is>
          <t>avverkningsanmälan</t>
        </is>
      </c>
      <c r="C189" t="inlineStr">
        <is>
          <t>Föryngringsavverkning</t>
        </is>
      </c>
      <c r="D189" s="1" t="n">
        <v>46273</v>
      </c>
      <c r="E189" s="1" t="n">
        <v>46311</v>
      </c>
      <c r="F189" t="inlineStr">
        <is>
          <t>ÖREBRO LÄN</t>
        </is>
      </c>
      <c r="G189" t="inlineStr">
        <is>
          <t>LEKEBERG</t>
        </is>
      </c>
      <c r="H189" t="inlineStr">
        <is>
          <t>Sveaskog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36997-2026</t>
        </is>
      </c>
      <c r="B190" t="inlineStr">
        <is>
          <t>avverkningsanmälan</t>
        </is>
      </c>
      <c r="C190" t="inlineStr">
        <is>
          <t>Föryngringsavverkning</t>
        </is>
      </c>
      <c r="D190" s="1" t="n">
        <v>46273</v>
      </c>
      <c r="E190" s="1" t="n">
        <v>46311</v>
      </c>
      <c r="F190" t="inlineStr">
        <is>
          <t>ÖREBRO LÄN</t>
        </is>
      </c>
      <c r="G190" t="inlineStr">
        <is>
          <t>LEKEBERG</t>
        </is>
      </c>
      <c r="H190" t="inlineStr">
        <is>
          <t>Sveaskog</t>
        </is>
      </c>
      <c r="I190" t="n">
        <v>4.6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37006-2026</t>
        </is>
      </c>
      <c r="B191" t="inlineStr">
        <is>
          <t>avverkningsanmälan</t>
        </is>
      </c>
      <c r="C191" t="inlineStr">
        <is>
          <t>Föryngringsavverkning</t>
        </is>
      </c>
      <c r="D191" s="1" t="n">
        <v>46273</v>
      </c>
      <c r="E191" s="1" t="n">
        <v>46311</v>
      </c>
      <c r="F191" t="inlineStr">
        <is>
          <t>ÖREBRO LÄN</t>
        </is>
      </c>
      <c r="G191" t="inlineStr">
        <is>
          <t>LEKEBERG</t>
        </is>
      </c>
      <c r="H191" t="inlineStr">
        <is>
          <t>Sveaskog</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54227-2024</t>
        </is>
      </c>
      <c r="B192" t="inlineStr">
        <is>
          <t>avverkningsanmälan</t>
        </is>
      </c>
      <c r="C192" t="inlineStr">
        <is>
          <t>Föryngringsavverkning</t>
        </is>
      </c>
      <c r="D192" s="1" t="n">
        <v>45616</v>
      </c>
      <c r="E192" s="1" t="n">
        <v>46311</v>
      </c>
      <c r="F192" t="inlineStr">
        <is>
          <t>ÖREBRO LÄN</t>
        </is>
      </c>
      <c r="G192" t="inlineStr">
        <is>
          <t>LEKEBERG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38008-2026</t>
        </is>
      </c>
      <c r="B193" t="inlineStr">
        <is>
          <t>avverkningsanmälan</t>
        </is>
      </c>
      <c r="C193" t="inlineStr">
        <is>
          <t>Föryngringsavverkning</t>
        </is>
      </c>
      <c r="D193" s="1" t="n">
        <v>46280</v>
      </c>
      <c r="E193" s="1" t="n">
        <v>46311</v>
      </c>
      <c r="F193" t="inlineStr">
        <is>
          <t>ÖREBRO LÄN</t>
        </is>
      </c>
      <c r="G193" t="inlineStr">
        <is>
          <t>LEKEBERG</t>
        </is>
      </c>
      <c r="H193" t="inlineStr">
        <is>
          <t>Sveaskog</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38021-2026</t>
        </is>
      </c>
      <c r="B194" t="inlineStr">
        <is>
          <t>avverkningsanmälan</t>
        </is>
      </c>
      <c r="C194" t="inlineStr">
        <is>
          <t>Föryngringsavverkning</t>
        </is>
      </c>
      <c r="D194" s="1" t="n">
        <v>46280</v>
      </c>
      <c r="E194" s="1" t="n">
        <v>46311</v>
      </c>
      <c r="F194" t="inlineStr">
        <is>
          <t>ÖREBRO LÄN</t>
        </is>
      </c>
      <c r="G194" t="inlineStr">
        <is>
          <t>LEKEBERG</t>
        </is>
      </c>
      <c r="H194" t="inlineStr">
        <is>
          <t>Sveaskog</t>
        </is>
      </c>
      <c r="I194" t="n">
        <v>5.8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55842-2025</t>
        </is>
      </c>
      <c r="B195" t="inlineStr">
        <is>
          <t>avverkningsanmälan</t>
        </is>
      </c>
      <c r="C195" t="inlineStr">
        <is>
          <t>Föryngringsavverkning</t>
        </is>
      </c>
      <c r="D195" s="1" t="n">
        <v>45973</v>
      </c>
      <c r="E195" s="1" t="n">
        <v>46311</v>
      </c>
      <c r="F195" t="inlineStr">
        <is>
          <t>ÖREBRO LÄN</t>
        </is>
      </c>
      <c r="G195" t="inlineStr">
        <is>
          <t>LEKEBERG</t>
        </is>
      </c>
      <c r="H195" t="inlineStr">
        <is>
          <t>Sveaskog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10273-2023</t>
        </is>
      </c>
      <c r="B196" t="inlineStr">
        <is>
          <t>avverkningsanmälan</t>
        </is>
      </c>
      <c r="C196" t="inlineStr">
        <is>
          <t>Avverkning för annat ändamål</t>
        </is>
      </c>
      <c r="D196" s="1" t="n">
        <v>44986</v>
      </c>
      <c r="E196" s="1" t="n">
        <v>46311</v>
      </c>
      <c r="F196" t="inlineStr">
        <is>
          <t>ÖREBRO LÄN</t>
        </is>
      </c>
      <c r="G196" t="inlineStr">
        <is>
          <t>LEKEBERG</t>
        </is>
      </c>
      <c r="I196" t="n">
        <v>12.8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50405-2024</t>
        </is>
      </c>
      <c r="B197" t="inlineStr">
        <is>
          <t>avverkningsanmälan</t>
        </is>
      </c>
      <c r="C197" t="inlineStr">
        <is>
          <t>Föryngringsavverkning</t>
        </is>
      </c>
      <c r="D197" s="1" t="n">
        <v>45601</v>
      </c>
      <c r="E197" s="1" t="n">
        <v>46311</v>
      </c>
      <c r="F197" t="inlineStr">
        <is>
          <t>ÖREBRO LÄN</t>
        </is>
      </c>
      <c r="G197" t="inlineStr">
        <is>
          <t>LEKEBERG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32975-2026</t>
        </is>
      </c>
      <c r="B198" t="inlineStr">
        <is>
          <t>avverkningsanmälan</t>
        </is>
      </c>
      <c r="C198" t="inlineStr">
        <is>
          <t>Föryngringsavverkning</t>
        </is>
      </c>
      <c r="D198" s="1" t="n">
        <v>46244</v>
      </c>
      <c r="E198" s="1" t="n">
        <v>46311</v>
      </c>
      <c r="F198" t="inlineStr">
        <is>
          <t>ÖREBRO LÄN</t>
        </is>
      </c>
      <c r="G198" t="inlineStr">
        <is>
          <t>LEKEBERG</t>
        </is>
      </c>
      <c r="H198" t="inlineStr">
        <is>
          <t>Sveaskog</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2039-2025</t>
        </is>
      </c>
      <c r="B199" t="inlineStr">
        <is>
          <t>avverkningsanmälan</t>
        </is>
      </c>
      <c r="C199" t="inlineStr">
        <is>
          <t>Föryngringsavverkning</t>
        </is>
      </c>
      <c r="D199" s="1" t="n">
        <v>45672</v>
      </c>
      <c r="E199" s="1" t="n">
        <v>46311</v>
      </c>
      <c r="F199" t="inlineStr">
        <is>
          <t>ÖREBRO LÄN</t>
        </is>
      </c>
      <c r="G199" t="inlineStr">
        <is>
          <t>LEKEBERG</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61314-2024</t>
        </is>
      </c>
      <c r="B200" t="inlineStr">
        <is>
          <t>avverkningsanmälan</t>
        </is>
      </c>
      <c r="C200" t="inlineStr">
        <is>
          <t>Föryngringsavverkning</t>
        </is>
      </c>
      <c r="D200" s="1" t="n">
        <v>45646</v>
      </c>
      <c r="E200" s="1" t="n">
        <v>46311</v>
      </c>
      <c r="F200" t="inlineStr">
        <is>
          <t>ÖREBRO LÄN</t>
        </is>
      </c>
      <c r="G200" t="inlineStr">
        <is>
          <t>LEKEBERG</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40002-2026</t>
        </is>
      </c>
      <c r="B201" t="inlineStr">
        <is>
          <t>avverkningsanmälan</t>
        </is>
      </c>
      <c r="C201" t="inlineStr">
        <is>
          <t>Föryngringsavverkning</t>
        </is>
      </c>
      <c r="D201" s="1" t="n">
        <v>46293</v>
      </c>
      <c r="E201" s="1" t="n">
        <v>46311</v>
      </c>
      <c r="F201" t="inlineStr">
        <is>
          <t>ÖREBRO LÄN</t>
        </is>
      </c>
      <c r="G201" t="inlineStr">
        <is>
          <t>LEKEBERG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61470-2024</t>
        </is>
      </c>
      <c r="B202" t="inlineStr">
        <is>
          <t>avverkningsanmälan</t>
        </is>
      </c>
      <c r="C202" t="inlineStr">
        <is>
          <t>Föryngringsavverkning</t>
        </is>
      </c>
      <c r="D202" s="1" t="n">
        <v>45646</v>
      </c>
      <c r="E202" s="1" t="n">
        <v>46311</v>
      </c>
      <c r="F202" t="inlineStr">
        <is>
          <t>ÖREBRO LÄN</t>
        </is>
      </c>
      <c r="G202" t="inlineStr">
        <is>
          <t>LEKEBERG</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62160-2024</t>
        </is>
      </c>
      <c r="B203" t="inlineStr">
        <is>
          <t>avverkningsanmälan</t>
        </is>
      </c>
      <c r="C203" t="inlineStr">
        <is>
          <t>Föryngringsavverkning</t>
        </is>
      </c>
      <c r="D203" s="1" t="n">
        <v>45656</v>
      </c>
      <c r="E203" s="1" t="n">
        <v>46311</v>
      </c>
      <c r="F203" t="inlineStr">
        <is>
          <t>ÖREBRO LÄN</t>
        </is>
      </c>
      <c r="G203" t="inlineStr">
        <is>
          <t>LEKEBERG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61584-2025</t>
        </is>
      </c>
      <c r="B204" t="inlineStr">
        <is>
          <t>avverkningsanmälan</t>
        </is>
      </c>
      <c r="C204" t="inlineStr">
        <is>
          <t>Föryngringsavverkning</t>
        </is>
      </c>
      <c r="D204" s="1" t="n">
        <v>46002</v>
      </c>
      <c r="E204" s="1" t="n">
        <v>46311</v>
      </c>
      <c r="F204" t="inlineStr">
        <is>
          <t>ÖREBRO LÄN</t>
        </is>
      </c>
      <c r="G204" t="inlineStr">
        <is>
          <t>LEKEBERG</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61581-2025</t>
        </is>
      </c>
      <c r="B205" t="inlineStr">
        <is>
          <t>avverkningsanmälan</t>
        </is>
      </c>
      <c r="C205" t="inlineStr">
        <is>
          <t>Föryngringsavverkning</t>
        </is>
      </c>
      <c r="D205" s="1" t="n">
        <v>46002</v>
      </c>
      <c r="E205" s="1" t="n">
        <v>46311</v>
      </c>
      <c r="F205" t="inlineStr">
        <is>
          <t>ÖREBRO LÄN</t>
        </is>
      </c>
      <c r="G205" t="inlineStr">
        <is>
          <t>LEKEBERG</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50104-2024</t>
        </is>
      </c>
      <c r="B206" t="inlineStr">
        <is>
          <t>avverkningsanmälan</t>
        </is>
      </c>
      <c r="C206" t="inlineStr">
        <is>
          <t>Föryngringsavverkning</t>
        </is>
      </c>
      <c r="D206" s="1" t="n">
        <v>45600</v>
      </c>
      <c r="E206" s="1" t="n">
        <v>46311</v>
      </c>
      <c r="F206" t="inlineStr">
        <is>
          <t>ÖREBRO LÄN</t>
        </is>
      </c>
      <c r="G206" t="inlineStr">
        <is>
          <t>LEKEBERG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34650-2026</t>
        </is>
      </c>
      <c r="B207" t="inlineStr">
        <is>
          <t>avverkningsanmälan</t>
        </is>
      </c>
      <c r="C207" t="inlineStr">
        <is>
          <t>Avverkning för att bevara och utveckla /försöksver</t>
        </is>
      </c>
      <c r="D207" s="1" t="n">
        <v>46256</v>
      </c>
      <c r="E207" s="1" t="n">
        <v>46311</v>
      </c>
      <c r="F207" t="inlineStr">
        <is>
          <t>ÖREBRO LÄN</t>
        </is>
      </c>
      <c r="G207" t="inlineStr">
        <is>
          <t>LEKEBERG</t>
        </is>
      </c>
      <c r="H207" t="inlineStr">
        <is>
          <t>Sveaskog</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33334-2023</t>
        </is>
      </c>
      <c r="B208" t="inlineStr">
        <is>
          <t>avverkningsanmälan</t>
        </is>
      </c>
      <c r="C208" t="inlineStr">
        <is>
          <t>Föryngringsavverkning</t>
        </is>
      </c>
      <c r="D208" s="1" t="n">
        <v>45128</v>
      </c>
      <c r="E208" s="1" t="n">
        <v>46311</v>
      </c>
      <c r="F208" t="inlineStr">
        <is>
          <t>ÖREBRO LÄN</t>
        </is>
      </c>
      <c r="G208" t="inlineStr">
        <is>
          <t>LEKEBERG</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62978-2025</t>
        </is>
      </c>
      <c r="B209" t="inlineStr">
        <is>
          <t>avverkningsanmälan</t>
        </is>
      </c>
      <c r="C209" t="inlineStr">
        <is>
          <t>Föryngringsavverkning</t>
        </is>
      </c>
      <c r="D209" s="1" t="n">
        <v>46009</v>
      </c>
      <c r="E209" s="1" t="n">
        <v>46311</v>
      </c>
      <c r="F209" t="inlineStr">
        <is>
          <t>ÖREBRO LÄN</t>
        </is>
      </c>
      <c r="G209" t="inlineStr">
        <is>
          <t>LEKEBERG</t>
        </is>
      </c>
      <c r="H209" t="inlineStr">
        <is>
          <t>Allmännings- och besparingsskogar</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1574-2025</t>
        </is>
      </c>
      <c r="B210" t="inlineStr">
        <is>
          <t>avverkningsanmälan</t>
        </is>
      </c>
      <c r="C210" t="inlineStr">
        <is>
          <t>Föryngringsavverkning</t>
        </is>
      </c>
      <c r="D210" s="1" t="n">
        <v>45670</v>
      </c>
      <c r="E210" s="1" t="n">
        <v>46311</v>
      </c>
      <c r="F210" t="inlineStr">
        <is>
          <t>ÖREBRO LÄN</t>
        </is>
      </c>
      <c r="G210" t="inlineStr">
        <is>
          <t>LEKEBERG</t>
        </is>
      </c>
      <c r="H210" t="inlineStr">
        <is>
          <t>Allmännings- och besparingsskogar</t>
        </is>
      </c>
      <c r="I210" t="n">
        <v>9.699999999999999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41233-2024</t>
        </is>
      </c>
      <c r="B211" t="inlineStr">
        <is>
          <t>avverkningsanmälan</t>
        </is>
      </c>
      <c r="C211" t="inlineStr">
        <is>
          <t>Föryngringsavverkning</t>
        </is>
      </c>
      <c r="D211" s="1" t="n">
        <v>45559</v>
      </c>
      <c r="E211" s="1" t="n">
        <v>46311</v>
      </c>
      <c r="F211" t="inlineStr">
        <is>
          <t>ÖREBRO LÄN</t>
        </is>
      </c>
      <c r="G211" t="inlineStr">
        <is>
          <t>LEKEBERG</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62939-2025</t>
        </is>
      </c>
      <c r="B212" t="inlineStr">
        <is>
          <t>avverkningsanmälan</t>
        </is>
      </c>
      <c r="C212" t="inlineStr">
        <is>
          <t>Föryngringsavverkning</t>
        </is>
      </c>
      <c r="D212" s="1" t="n">
        <v>46009</v>
      </c>
      <c r="E212" s="1" t="n">
        <v>46311</v>
      </c>
      <c r="F212" t="inlineStr">
        <is>
          <t>ÖREBRO LÄN</t>
        </is>
      </c>
      <c r="G212" t="inlineStr">
        <is>
          <t>LEKEBERG</t>
        </is>
      </c>
      <c r="H212" t="inlineStr">
        <is>
          <t>Allmännings- och besparingsskogar</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62961-2025</t>
        </is>
      </c>
      <c r="B213" t="inlineStr">
        <is>
          <t>avverkningsanmälan</t>
        </is>
      </c>
      <c r="C213" t="inlineStr">
        <is>
          <t>Föryngringsavverkning</t>
        </is>
      </c>
      <c r="D213" s="1" t="n">
        <v>46009</v>
      </c>
      <c r="E213" s="1" t="n">
        <v>46311</v>
      </c>
      <c r="F213" t="inlineStr">
        <is>
          <t>ÖREBRO LÄN</t>
        </is>
      </c>
      <c r="G213" t="inlineStr">
        <is>
          <t>LEKEBERG</t>
        </is>
      </c>
      <c r="H213" t="inlineStr">
        <is>
          <t>Allmännings- och besparingsskogar</t>
        </is>
      </c>
      <c r="I213" t="n">
        <v>4.6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34649-2026</t>
        </is>
      </c>
      <c r="B214" t="inlineStr">
        <is>
          <t>avverkningsanmälan</t>
        </is>
      </c>
      <c r="C214" t="inlineStr">
        <is>
          <t>Avverkning för att bevara och utveckla /försöksver</t>
        </is>
      </c>
      <c r="D214" s="1" t="n">
        <v>46256</v>
      </c>
      <c r="E214" s="1" t="n">
        <v>46311</v>
      </c>
      <c r="F214" t="inlineStr">
        <is>
          <t>ÖREBRO LÄN</t>
        </is>
      </c>
      <c r="G214" t="inlineStr">
        <is>
          <t>LEKEBERG</t>
        </is>
      </c>
      <c r="H214" t="inlineStr">
        <is>
          <t>Sveaskog</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55727-2024</t>
        </is>
      </c>
      <c r="B215" t="inlineStr">
        <is>
          <t>avverkningsanmälan</t>
        </is>
      </c>
      <c r="C215" t="inlineStr">
        <is>
          <t>Föryngringsavverkning</t>
        </is>
      </c>
      <c r="D215" s="1" t="n">
        <v>45622</v>
      </c>
      <c r="E215" s="1" t="n">
        <v>46311</v>
      </c>
      <c r="F215" t="inlineStr">
        <is>
          <t>ÖREBRO LÄN</t>
        </is>
      </c>
      <c r="G215" t="inlineStr">
        <is>
          <t>LEKEBERG</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41270-2026</t>
        </is>
      </c>
      <c r="B216" t="inlineStr">
        <is>
          <t>avverkningsanmälan</t>
        </is>
      </c>
      <c r="C216" t="inlineStr">
        <is>
          <t>Föryngringsavverkning</t>
        </is>
      </c>
      <c r="D216" s="1" t="n">
        <v>46300</v>
      </c>
      <c r="E216" s="1" t="n">
        <v>46311</v>
      </c>
      <c r="F216" t="inlineStr">
        <is>
          <t>ÖREBRO LÄN</t>
        </is>
      </c>
      <c r="G216" t="inlineStr">
        <is>
          <t>LEKEBERG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10274-2023</t>
        </is>
      </c>
      <c r="B217" t="inlineStr">
        <is>
          <t>avverkningsanmälan</t>
        </is>
      </c>
      <c r="C217" t="inlineStr">
        <is>
          <t>Föryngringsavverkning</t>
        </is>
      </c>
      <c r="D217" s="1" t="n">
        <v>44986</v>
      </c>
      <c r="E217" s="1" t="n">
        <v>46311</v>
      </c>
      <c r="F217" t="inlineStr">
        <is>
          <t>ÖREBRO LÄN</t>
        </is>
      </c>
      <c r="G217" t="inlineStr">
        <is>
          <t>LEKEBERG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34648-2026</t>
        </is>
      </c>
      <c r="B218" t="inlineStr">
        <is>
          <t>avverkningsanmälan</t>
        </is>
      </c>
      <c r="C218" t="inlineStr">
        <is>
          <t>Föryngringsavverkning</t>
        </is>
      </c>
      <c r="D218" s="1" t="n">
        <v>46256</v>
      </c>
      <c r="E218" s="1" t="n">
        <v>46311</v>
      </c>
      <c r="F218" t="inlineStr">
        <is>
          <t>ÖREBRO LÄN</t>
        </is>
      </c>
      <c r="G218" t="inlineStr">
        <is>
          <t>LEKEBERG</t>
        </is>
      </c>
      <c r="H218" t="inlineStr">
        <is>
          <t>Sveaskog</t>
        </is>
      </c>
      <c r="I218" t="n">
        <v>4.8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34651-2026</t>
        </is>
      </c>
      <c r="B219" t="inlineStr">
        <is>
          <t>avverkningsanmälan</t>
        </is>
      </c>
      <c r="C219" t="inlineStr">
        <is>
          <t>Föryngringsavverkning</t>
        </is>
      </c>
      <c r="D219" s="1" t="n">
        <v>46256</v>
      </c>
      <c r="E219" s="1" t="n">
        <v>46311</v>
      </c>
      <c r="F219" t="inlineStr">
        <is>
          <t>ÖREBRO LÄN</t>
        </is>
      </c>
      <c r="G219" t="inlineStr">
        <is>
          <t>LEKEBERG</t>
        </is>
      </c>
      <c r="H219" t="inlineStr">
        <is>
          <t>Sveaskog</t>
        </is>
      </c>
      <c r="I219" t="n">
        <v>8.800000000000001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58548-2024</t>
        </is>
      </c>
      <c r="B220" t="inlineStr">
        <is>
          <t>avverkningsanmälan</t>
        </is>
      </c>
      <c r="C220" t="inlineStr">
        <is>
          <t>Föryngringsavverkning</t>
        </is>
      </c>
      <c r="D220" s="1" t="n">
        <v>45635</v>
      </c>
      <c r="E220" s="1" t="n">
        <v>46311</v>
      </c>
      <c r="F220" t="inlineStr">
        <is>
          <t>ÖREBRO LÄN</t>
        </is>
      </c>
      <c r="G220" t="inlineStr">
        <is>
          <t>LEKEBERG</t>
        </is>
      </c>
      <c r="I220" t="n">
        <v>6.3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1217-2026</t>
        </is>
      </c>
      <c r="B221" t="inlineStr">
        <is>
          <t>avverkningsanmälan</t>
        </is>
      </c>
      <c r="C221" t="inlineStr">
        <is>
          <t>Föryngringsavverkning</t>
        </is>
      </c>
      <c r="D221" s="1" t="n">
        <v>46031</v>
      </c>
      <c r="E221" s="1" t="n">
        <v>46311</v>
      </c>
      <c r="F221" t="inlineStr">
        <is>
          <t>ÖREBRO LÄN</t>
        </is>
      </c>
      <c r="G221" t="inlineStr">
        <is>
          <t>LEKEBERG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41350-2023</t>
        </is>
      </c>
      <c r="B222" t="inlineStr">
        <is>
          <t>avverkningsanmälan</t>
        </is>
      </c>
      <c r="C222" t="inlineStr">
        <is>
          <t>Föryngringsavverkning</t>
        </is>
      </c>
      <c r="D222" s="1" t="n">
        <v>45174</v>
      </c>
      <c r="E222" s="1" t="n">
        <v>46311</v>
      </c>
      <c r="F222" t="inlineStr">
        <is>
          <t>ÖREBRO LÄN</t>
        </is>
      </c>
      <c r="G222" t="inlineStr">
        <is>
          <t>LEKEBERG</t>
        </is>
      </c>
      <c r="H222" t="inlineStr">
        <is>
          <t>Allmännings- och besparingsskogar</t>
        </is>
      </c>
      <c r="I222" t="n">
        <v>8.800000000000001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6223-2026</t>
        </is>
      </c>
      <c r="B223" t="inlineStr">
        <is>
          <t>avverkningsanmälan</t>
        </is>
      </c>
      <c r="C223" t="inlineStr">
        <is>
          <t>Föryngringsavverkning</t>
        </is>
      </c>
      <c r="D223" s="1" t="n">
        <v>46055</v>
      </c>
      <c r="E223" s="1" t="n">
        <v>46311</v>
      </c>
      <c r="F223" t="inlineStr">
        <is>
          <t>ÖREBRO LÄN</t>
        </is>
      </c>
      <c r="G223" t="inlineStr">
        <is>
          <t>LEKEBERG</t>
        </is>
      </c>
      <c r="I223" t="n">
        <v>5.5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9933-2026</t>
        </is>
      </c>
      <c r="B224" t="inlineStr">
        <is>
          <t>avverkningsanmälan</t>
        </is>
      </c>
      <c r="C224" t="inlineStr">
        <is>
          <t>Föryngringsavverkning</t>
        </is>
      </c>
      <c r="D224" s="1" t="n">
        <v>46073</v>
      </c>
      <c r="E224" s="1" t="n">
        <v>46311</v>
      </c>
      <c r="F224" t="inlineStr">
        <is>
          <t>ÖREBRO LÄN</t>
        </is>
      </c>
      <c r="G224" t="inlineStr">
        <is>
          <t>LEKEBERG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12546-2026</t>
        </is>
      </c>
      <c r="B225" t="inlineStr">
        <is>
          <t>avverkningsanmälan</t>
        </is>
      </c>
      <c r="C225" t="inlineStr">
        <is>
          <t>Föryngringsavverkning</t>
        </is>
      </c>
      <c r="D225" s="1" t="n">
        <v>46090</v>
      </c>
      <c r="E225" s="1" t="n">
        <v>46311</v>
      </c>
      <c r="F225" t="inlineStr">
        <is>
          <t>ÖREBRO LÄN</t>
        </is>
      </c>
      <c r="G225" t="inlineStr">
        <is>
          <t>LEKEBERG</t>
        </is>
      </c>
      <c r="H225" t="inlineStr">
        <is>
          <t>Sveaskog</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12547-2026</t>
        </is>
      </c>
      <c r="B226" t="inlineStr">
        <is>
          <t>avverkningsanmälan</t>
        </is>
      </c>
      <c r="C226" t="inlineStr">
        <is>
          <t>Föryngringsavverkning</t>
        </is>
      </c>
      <c r="D226" s="1" t="n">
        <v>46090</v>
      </c>
      <c r="E226" s="1" t="n">
        <v>46311</v>
      </c>
      <c r="F226" t="inlineStr">
        <is>
          <t>ÖREBRO LÄN</t>
        </is>
      </c>
      <c r="G226" t="inlineStr">
        <is>
          <t>LEKEBERG</t>
        </is>
      </c>
      <c r="H226" t="inlineStr">
        <is>
          <t>Sveaskog</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6727-2022</t>
        </is>
      </c>
      <c r="B227" t="inlineStr">
        <is>
          <t>samrådsanmälan</t>
        </is>
      </c>
      <c r="C227" t="inlineStr">
        <is>
          <t>Annan skogsbruksåtgärd</t>
        </is>
      </c>
      <c r="D227" s="1" t="n">
        <v>44889</v>
      </c>
      <c r="E227" s="1" t="n">
        <v>46311</v>
      </c>
      <c r="F227" t="inlineStr">
        <is>
          <t>ÖREBRO LÄN</t>
        </is>
      </c>
      <c r="G227" t="inlineStr">
        <is>
          <t>LEKEBERG</t>
        </is>
      </c>
      <c r="H227" t="inlineStr">
        <is>
          <t>Sveaskog</t>
        </is>
      </c>
      <c r="I227" t="n">
        <v>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6723-2022</t>
        </is>
      </c>
      <c r="B228" t="inlineStr">
        <is>
          <t>samrådsanmälan</t>
        </is>
      </c>
      <c r="C228" t="inlineStr">
        <is>
          <t>Annan skogsbruksåtgärd</t>
        </is>
      </c>
      <c r="D228" s="1" t="n">
        <v>44889</v>
      </c>
      <c r="E228" s="1" t="n">
        <v>46311</v>
      </c>
      <c r="F228" t="inlineStr">
        <is>
          <t>ÖREBRO LÄN</t>
        </is>
      </c>
      <c r="G228" t="inlineStr">
        <is>
          <t>LEKEBERG</t>
        </is>
      </c>
      <c r="H228" t="inlineStr">
        <is>
          <t>Sveaskog</t>
        </is>
      </c>
      <c r="I228" t="n">
        <v>9.6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231-2024</t>
        </is>
      </c>
      <c r="B229" t="inlineStr">
        <is>
          <t>samrådsanmälan</t>
        </is>
      </c>
      <c r="C229" t="inlineStr">
        <is>
          <t>Annan skogsbruksåtgärd</t>
        </is>
      </c>
      <c r="D229" s="1" t="n">
        <v>45317</v>
      </c>
      <c r="E229" s="1" t="n">
        <v>46311</v>
      </c>
      <c r="F229" t="inlineStr">
        <is>
          <t>ÖREBRO LÄN</t>
        </is>
      </c>
      <c r="G229" t="inlineStr">
        <is>
          <t>LEKEBERG</t>
        </is>
      </c>
      <c r="H229" t="inlineStr">
        <is>
          <t>Sveaskog</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1250-2025</t>
        </is>
      </c>
      <c r="B230" t="inlineStr">
        <is>
          <t>samrådsanmälan</t>
        </is>
      </c>
      <c r="C230" t="inlineStr">
        <is>
          <t>Annan skogsbruksåtgärd</t>
        </is>
      </c>
      <c r="D230" s="1" t="n">
        <v>45762</v>
      </c>
      <c r="E230" s="1" t="n">
        <v>46311</v>
      </c>
      <c r="F230" t="inlineStr">
        <is>
          <t>ÖREBRO LÄN</t>
        </is>
      </c>
      <c r="G230" t="inlineStr">
        <is>
          <t>LEKEBERG</t>
        </is>
      </c>
      <c r="H230" t="inlineStr">
        <is>
          <t>Sveaskog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26-2026</t>
        </is>
      </c>
      <c r="B231" t="inlineStr">
        <is>
          <t>samrådsanmälan</t>
        </is>
      </c>
      <c r="C231" t="inlineStr">
        <is>
          <t>Skogsgödsling</t>
        </is>
      </c>
      <c r="D231" s="1" t="n">
        <v>46030</v>
      </c>
      <c r="E231" s="1" t="n">
        <v>46311</v>
      </c>
      <c r="F231" t="inlineStr">
        <is>
          <t>ÖREBRO LÄN</t>
        </is>
      </c>
      <c r="G231" t="inlineStr">
        <is>
          <t>LEKEBERG</t>
        </is>
      </c>
      <c r="I231" t="n">
        <v>13.1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505-2026</t>
        </is>
      </c>
      <c r="B232" t="inlineStr">
        <is>
          <t>samrådsanmälan</t>
        </is>
      </c>
      <c r="C232" t="inlineStr">
        <is>
          <t>Annan skogsbruksåtgärd</t>
        </is>
      </c>
      <c r="D232" s="1" t="n">
        <v>46076</v>
      </c>
      <c r="E232" s="1" t="n">
        <v>46311</v>
      </c>
      <c r="F232" t="inlineStr">
        <is>
          <t>ÖREBRO LÄN</t>
        </is>
      </c>
      <c r="G232" t="inlineStr">
        <is>
          <t>LEKEBERG</t>
        </is>
      </c>
      <c r="I232" t="n">
        <v>0</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S 2205-2026</t>
        </is>
      </c>
      <c r="B233" t="inlineStr">
        <is>
          <t>samrådsanmälan</t>
        </is>
      </c>
      <c r="C233" t="inlineStr">
        <is>
          <t>Annan skogsbruksåtgärd</t>
        </is>
      </c>
      <c r="D233" s="1" t="n">
        <v>46256</v>
      </c>
      <c r="E233" s="1" t="n">
        <v>46311</v>
      </c>
      <c r="F233" t="inlineStr">
        <is>
          <t>ÖREBRO LÄN</t>
        </is>
      </c>
      <c r="G233" t="inlineStr">
        <is>
          <t>LEKEBERG</t>
        </is>
      </c>
      <c r="H233" t="inlineStr">
        <is>
          <t>Sveaskog</t>
        </is>
      </c>
      <c r="I233" t="n">
        <v>3.7</v>
      </c>
      <c r="J233" t="n">
        <v>0</v>
      </c>
      <c r="K233" t="n">
        <v>0</v>
      </c>
      <c r="L233" t="n">
        <v>0</v>
      </c>
      <c r="M233" t="n">
        <v>0</v>
      </c>
      <c r="N233" t="n">
        <v>0</v>
      </c>
      <c r="O233" t="n">
        <v>0</v>
      </c>
      <c r="P233" t="n">
        <v>0</v>
      </c>
      <c r="Q233" t="n">
        <v>0</v>
      </c>
      <c r="R233" t="n">
        <v>0</v>
      </c>
      <c r="S233" t="n">
        <v>0</v>
      </c>
      <c r="T233" t="n">
        <v>0</v>
      </c>
      <c r="U233" t="n">
        <v>0</v>
      </c>
      <c r="V233" s="2" t="inlineStr"/>
    </row>
    <row r="234">
      <c r="A234" t="inlineStr">
        <is>
          <t>S 2206-2026</t>
        </is>
      </c>
      <c r="B234" t="inlineStr">
        <is>
          <t>samrådsanmälan</t>
        </is>
      </c>
      <c r="C234" t="inlineStr">
        <is>
          <t>Annan skogsbruksåtgärd</t>
        </is>
      </c>
      <c r="D234" s="1" t="n">
        <v>46256</v>
      </c>
      <c r="E234" s="1" t="n">
        <v>46311</v>
      </c>
      <c r="F234" t="inlineStr">
        <is>
          <t>ÖREBRO LÄN</t>
        </is>
      </c>
      <c r="G234" t="inlineStr">
        <is>
          <t>LEKEBERG</t>
        </is>
      </c>
      <c r="H234" t="inlineStr">
        <is>
          <t>Sveaskog</t>
        </is>
      </c>
      <c r="I234" t="n">
        <v>0.9</v>
      </c>
      <c r="J234" t="n">
        <v>0</v>
      </c>
      <c r="K234" t="n">
        <v>0</v>
      </c>
      <c r="L234" t="n">
        <v>0</v>
      </c>
      <c r="M234" t="n">
        <v>0</v>
      </c>
      <c r="N234" t="n">
        <v>0</v>
      </c>
      <c r="O234" t="n">
        <v>0</v>
      </c>
      <c r="P234" t="n">
        <v>0</v>
      </c>
      <c r="Q234" t="n">
        <v>0</v>
      </c>
      <c r="R234" t="n">
        <v>0</v>
      </c>
      <c r="S234" t="n">
        <v>0</v>
      </c>
      <c r="T234" t="n">
        <v>0</v>
      </c>
      <c r="U234" t="n">
        <v>0</v>
      </c>
      <c r="V2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2026-10-16T02:18:14Z</dcterms:created>
  <dcterms:modified xmlns:dcterms="http://purl.org/dc/terms/" xmlns:xsi="http://www.w3.org/2001/XMLSchema-instance" xsi:type="dcterms:W3CDTF">2026-10-16T02:18:14Z</dcterms:modified>
</cp:coreProperties>
</file>